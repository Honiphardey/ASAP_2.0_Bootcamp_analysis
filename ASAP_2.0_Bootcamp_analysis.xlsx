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oluwa\Documents\"/>
    </mc:Choice>
  </mc:AlternateContent>
  <xr:revisionPtr revIDLastSave="0" documentId="13_ncr:1_{866E3A06-00B7-4684-8AE4-CCF006B704C5}" xr6:coauthVersionLast="47" xr6:coauthVersionMax="47" xr10:uidLastSave="{00000000-0000-0000-0000-000000000000}"/>
  <bookViews>
    <workbookView xWindow="-110" yWindow="-110" windowWidth="19420" windowHeight="10300" activeTab="3" xr2:uid="{2DC64520-1D2C-495D-BFD2-1A2111FAB592}"/>
  </bookViews>
  <sheets>
    <sheet name="DATA" sheetId="2" r:id="rId1"/>
    <sheet name="WORKING DATA" sheetId="1" r:id="rId2"/>
    <sheet name="ANALYSIS" sheetId="3" r:id="rId3"/>
    <sheet name="DASHBOARD" sheetId="4" r:id="rId4"/>
  </sheets>
  <definedNames>
    <definedName name="Slicer_Day">#N/A</definedName>
    <definedName name="Slicer_Gender">#N/A</definedName>
    <definedName name="Slicer_Time_of_the_Day">#N/A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2" i="1"/>
  <c r="A41" i="3"/>
</calcChain>
</file>

<file path=xl/sharedStrings.xml><?xml version="1.0" encoding="utf-8"?>
<sst xmlns="http://schemas.openxmlformats.org/spreadsheetml/2006/main" count="853" uniqueCount="118">
  <si>
    <t>Timestamp</t>
  </si>
  <si>
    <t>Male</t>
  </si>
  <si>
    <t>No</t>
  </si>
  <si>
    <t>Yes</t>
  </si>
  <si>
    <t>Female</t>
  </si>
  <si>
    <t>N/A</t>
  </si>
  <si>
    <t>Time</t>
  </si>
  <si>
    <t>Month</t>
  </si>
  <si>
    <t>Day</t>
  </si>
  <si>
    <t>Time of the Day</t>
  </si>
  <si>
    <t>25 - 34 Years</t>
  </si>
  <si>
    <t>35 - 44 Years</t>
  </si>
  <si>
    <t>18 - 24 Years</t>
  </si>
  <si>
    <t>Under 18 Years</t>
  </si>
  <si>
    <t>Gender</t>
  </si>
  <si>
    <t>AM</t>
  </si>
  <si>
    <t>PM</t>
  </si>
  <si>
    <t>Highest Level of Education</t>
  </si>
  <si>
    <t>Secondary</t>
  </si>
  <si>
    <t>OND/NCE</t>
  </si>
  <si>
    <t>HND/Bachelor's degree</t>
  </si>
  <si>
    <t>Postgraduate</t>
  </si>
  <si>
    <t>Other</t>
  </si>
  <si>
    <t>Church</t>
  </si>
  <si>
    <t>Social Media</t>
  </si>
  <si>
    <t>Friend/Family</t>
  </si>
  <si>
    <t>Flyer</t>
  </si>
  <si>
    <t>Upskill</t>
  </si>
  <si>
    <t>Learn</t>
  </si>
  <si>
    <t>Self development</t>
  </si>
  <si>
    <t>Reason</t>
  </si>
  <si>
    <t>Attend ASAP 1.0</t>
  </si>
  <si>
    <t>Payment Notice</t>
  </si>
  <si>
    <t>Means of Information</t>
  </si>
  <si>
    <t>Commitment</t>
  </si>
  <si>
    <t xml:space="preserve"> </t>
  </si>
  <si>
    <t>More Knowledge</t>
  </si>
  <si>
    <t>Age Group</t>
  </si>
  <si>
    <t>4. Gender</t>
  </si>
  <si>
    <t>5. Age Range</t>
  </si>
  <si>
    <t>6. Highest Level of Education</t>
  </si>
  <si>
    <t xml:space="preserve">7. Why do you want to join the Adullam Skill Acquisition Program? </t>
  </si>
  <si>
    <t>8. Did you attend Adullam Skill Acquisition Program 1.0?</t>
  </si>
  <si>
    <t>9. I understand that I will have to pay upon arrival, as the slots are limited and only selected applicants will receive mail to attend.</t>
  </si>
  <si>
    <t>10. How did you hear about this program?</t>
  </si>
  <si>
    <t>11. I agree to commit my time and actively participate in the training.</t>
  </si>
  <si>
    <t>25 - 34</t>
  </si>
  <si>
    <t>d. HND/Bachelor's degree</t>
  </si>
  <si>
    <t>Learn to Foster in the career</t>
  </si>
  <si>
    <t>c. Church</t>
  </si>
  <si>
    <t xml:space="preserve">To increase knowledge for better opportunities </t>
  </si>
  <si>
    <t>For skills upgrading</t>
  </si>
  <si>
    <t>35 - 44</t>
  </si>
  <si>
    <t>c. OND/NCE</t>
  </si>
  <si>
    <t>Good</t>
  </si>
  <si>
    <t>18 - 24</t>
  </si>
  <si>
    <t xml:space="preserve">I can never go wrong with acquiring skills </t>
  </si>
  <si>
    <t>e. Postgraduate</t>
  </si>
  <si>
    <t xml:space="preserve">To enhance my digital skills and add values to my immediate community </t>
  </si>
  <si>
    <t xml:space="preserve">For skill acquisition </t>
  </si>
  <si>
    <t xml:space="preserve">To know more enhanced my skills </t>
  </si>
  <si>
    <t>I want to join the Adullam Skill Acquisition Program because I’m passionate about developing practical skills that can help me become self-reliant and build a sustainable career. I believe the program offers quality training, mentorship, and exposure that will help me grow both personally and professionally.</t>
  </si>
  <si>
    <t>It's an avenue to up skill</t>
  </si>
  <si>
    <t>To learn and get better.
No knowledge is wasted!</t>
  </si>
  <si>
    <t>f. Other</t>
  </si>
  <si>
    <t xml:space="preserve">To improve my skills </t>
  </si>
  <si>
    <t>To get better with data</t>
  </si>
  <si>
    <t xml:space="preserve">I'm joining to aquire knowledge on Data Analysis, Data visualizations, gain insight from Data to take meaning decision that would be of help to organization and business. </t>
  </si>
  <si>
    <t>It's a great opportunity I don't want to miss</t>
  </si>
  <si>
    <t>There’s a lot to learn and I’m to tap from this</t>
  </si>
  <si>
    <t xml:space="preserve">In order to know more </t>
  </si>
  <si>
    <t>a. Social Media</t>
  </si>
  <si>
    <t>b. Secondary</t>
  </si>
  <si>
    <t xml:space="preserve">To acquire knowledge on data analysis and be able to improve myself </t>
  </si>
  <si>
    <t xml:space="preserve">To learn For self development </t>
  </si>
  <si>
    <t>Under 18</t>
  </si>
  <si>
    <t>I need to skill to upscale my career development.</t>
  </si>
  <si>
    <t>Curiosity and love for Data Analysis</t>
  </si>
  <si>
    <t>b. Friend/Family</t>
  </si>
  <si>
    <t>I want to join the Adullam Skill Acquisition Program because I’m passionate about learning  I see it as an opportunity to turn my passion into a sustainable source of income. I’m also drawn to the program’s values of discipline, mentorship, and spiritual growth, which I believe will help me develop both in skill and character.</t>
  </si>
  <si>
    <t xml:space="preserve">To learn more about designs </t>
  </si>
  <si>
    <t>d. Flyer</t>
  </si>
  <si>
    <t xml:space="preserve">To learn </t>
  </si>
  <si>
    <t>To learn more</t>
  </si>
  <si>
    <t xml:space="preserve">To improve in my skills </t>
  </si>
  <si>
    <t>I want to upskill</t>
  </si>
  <si>
    <t>To master MS-excel and to be able to professionally analyze data</t>
  </si>
  <si>
    <t xml:space="preserve">To learn basic data analysis skills and apply it in my work and normal life </t>
  </si>
  <si>
    <t xml:space="preserve">I want to acquire knowledge </t>
  </si>
  <si>
    <t>To acquire a new skill and get a new stream of income</t>
  </si>
  <si>
    <t>Yes, No</t>
  </si>
  <si>
    <t>I'm joining the program for my career advantage.</t>
  </si>
  <si>
    <t>To have more insight and grow as an aspiring data analyst</t>
  </si>
  <si>
    <t xml:space="preserve">To gain more knowledge </t>
  </si>
  <si>
    <t xml:space="preserve">To learn and gain skills </t>
  </si>
  <si>
    <t>i have intrest for Skill Acquisition</t>
  </si>
  <si>
    <t xml:space="preserve">I want to increase my skill on this field to grow my mountain of influence </t>
  </si>
  <si>
    <t xml:space="preserve">Because Its the cave of adullam, and I know it will be more deeper cause in adullam, life's are transformed </t>
  </si>
  <si>
    <t xml:space="preserve">Because I'd like to venture into the the world of digital marketing space </t>
  </si>
  <si>
    <t>I would like to attend this skill acquisition so that I can be able to achieve some of my dreams</t>
  </si>
  <si>
    <t xml:space="preserve">Build career and improve myself </t>
  </si>
  <si>
    <t xml:space="preserve">For more acquisition of knowledge </t>
  </si>
  <si>
    <t xml:space="preserve">I want to join the Adullam Skill Acquisition program because I want to gain more experience in my Data Analytics skills. </t>
  </si>
  <si>
    <t>To gain skills</t>
  </si>
  <si>
    <t>Explore</t>
  </si>
  <si>
    <t>Row Labels</t>
  </si>
  <si>
    <t>Grand Total</t>
  </si>
  <si>
    <t>MON</t>
  </si>
  <si>
    <t>TUE</t>
  </si>
  <si>
    <t>THU</t>
  </si>
  <si>
    <t>SUN</t>
  </si>
  <si>
    <t>DAILY REGISTRATION TREND</t>
  </si>
  <si>
    <t>TIMEBELT</t>
  </si>
  <si>
    <t>AGE DISTRIBUTION</t>
  </si>
  <si>
    <t xml:space="preserve">Highest Level of Education </t>
  </si>
  <si>
    <t xml:space="preserve">REASON </t>
  </si>
  <si>
    <t xml:space="preserve">MEANS OF INFORMATION </t>
  </si>
  <si>
    <t>Count of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</si>
</sst>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h:mm:ss"/>
    <numFmt numFmtId="165" formatCode="[$-F400]h:mm:ss\ AM/PM"/>
    <numFmt numFmtId="166" formatCode="0.0%"/>
  </numFmts>
  <fonts count="5" x14ac:knownFonts="1">
    <font>
      <sz val="11"/>
      <color theme="1"/>
      <name val="Calibri"/>
      <family val="2"/>
      <scheme val="minor"/>
    </font>
    <font>
      <sz val="10"/>
      <color rgb="FF000000"/>
      <name val="Arial"/>
    </font>
    <font>
      <sz val="8"/>
      <name val="Calibri"/>
      <family val="2"/>
      <scheme val="minor"/>
    </font>
    <font>
      <b/>
      <sz val="10"/>
      <color rgb="FF000000"/>
      <name val="Arial"/>
    </font>
    <font>
      <sz val="10"/>
      <color theme="1"/>
      <name val="Calibri"/>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E2E8F0"/>
        <bgColor indexed="64"/>
      </patternFill>
    </fill>
  </fills>
  <borders count="28">
    <border>
      <left/>
      <right/>
      <top/>
      <bottom/>
      <diagonal/>
    </border>
    <border>
      <left/>
      <right/>
      <top style="thin">
        <color rgb="FF442F65"/>
      </top>
      <bottom/>
      <diagonal/>
    </border>
    <border>
      <left style="thin">
        <color rgb="FFFFFFFF"/>
      </left>
      <right/>
      <top style="thin">
        <color rgb="FF442F65"/>
      </top>
      <bottom/>
      <diagonal/>
    </border>
    <border>
      <left style="thin">
        <color rgb="FFF8F9FA"/>
      </left>
      <right/>
      <top style="thin">
        <color rgb="FFFFFFFF"/>
      </top>
      <bottom/>
      <diagonal/>
    </border>
    <border>
      <left style="thin">
        <color rgb="FFFFFFFF"/>
      </left>
      <right/>
      <top style="thin">
        <color rgb="FFFFFFFF"/>
      </top>
      <bottom/>
      <diagonal/>
    </border>
    <border>
      <left style="thin">
        <color rgb="FFFFFFFF"/>
      </left>
      <right/>
      <top style="thin">
        <color rgb="FFF8F9FA"/>
      </top>
      <bottom/>
      <diagonal/>
    </border>
    <border>
      <left style="thin">
        <color rgb="FFF8F9FA"/>
      </left>
      <right/>
      <top style="thin">
        <color rgb="FFF8F9FA"/>
      </top>
      <bottom/>
      <diagonal/>
    </border>
    <border>
      <left style="thin">
        <color rgb="FFF8F9FA"/>
      </left>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top style="thin">
        <color rgb="FFF8F9FA"/>
      </top>
      <bottom style="thin">
        <color rgb="FF442F65"/>
      </bottom>
      <diagonal/>
    </border>
    <border>
      <left style="thin">
        <color rgb="FFF8F9FA"/>
      </left>
      <right/>
      <top style="thin">
        <color rgb="FFFFFFFF"/>
      </top>
      <bottom style="thin">
        <color theme="4" tint="0.39997558519241921"/>
      </bottom>
      <diagonal/>
    </border>
    <border>
      <left style="thin">
        <color rgb="FFF8F9FA"/>
      </left>
      <right/>
      <top style="thin">
        <color rgb="FFF8F9FA"/>
      </top>
      <bottom style="thin">
        <color rgb="FF442F65"/>
      </bottom>
      <diagonal/>
    </border>
    <border>
      <left style="thin">
        <color rgb="FFFFFFFF"/>
      </left>
      <right/>
      <top style="thin">
        <color rgb="FFF8F9FA"/>
      </top>
      <bottom style="thin">
        <color rgb="FFFFFFFF"/>
      </bottom>
      <diagonal/>
    </border>
    <border>
      <left/>
      <right/>
      <top style="thin">
        <color rgb="FFF8F9FA"/>
      </top>
      <bottom/>
      <diagonal/>
    </border>
    <border>
      <left/>
      <right/>
      <top style="thin">
        <color rgb="FFF8F9FA"/>
      </top>
      <bottom style="thin">
        <color rgb="FF442F65"/>
      </bottom>
      <diagonal/>
    </border>
    <border>
      <left style="thin">
        <color rgb="FF5B3F86"/>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52">
    <xf numFmtId="0" fontId="0" fillId="0" borderId="0" xfId="0"/>
    <xf numFmtId="0" fontId="1" fillId="0" borderId="0" xfId="0" applyFont="1"/>
    <xf numFmtId="165" fontId="1" fillId="0" borderId="0" xfId="0" applyNumberFormat="1" applyFont="1"/>
    <xf numFmtId="164" fontId="1" fillId="3" borderId="2" xfId="0" applyNumberFormat="1" applyFont="1" applyFill="1" applyBorder="1" applyAlignment="1">
      <alignment vertical="center"/>
    </xf>
    <xf numFmtId="165" fontId="1" fillId="3" borderId="2" xfId="0" applyNumberFormat="1" applyFont="1" applyFill="1" applyBorder="1" applyAlignment="1">
      <alignment vertical="center"/>
    </xf>
    <xf numFmtId="0" fontId="1" fillId="3" borderId="2" xfId="0" applyFont="1" applyFill="1" applyBorder="1" applyAlignment="1">
      <alignment vertical="center"/>
    </xf>
    <xf numFmtId="164" fontId="1" fillId="0" borderId="3" xfId="0" applyNumberFormat="1" applyFont="1" applyBorder="1" applyAlignment="1">
      <alignment vertical="center"/>
    </xf>
    <xf numFmtId="164" fontId="1" fillId="0" borderId="4" xfId="0" applyNumberFormat="1" applyFont="1" applyBorder="1" applyAlignment="1">
      <alignment vertical="center"/>
    </xf>
    <xf numFmtId="165" fontId="1" fillId="0" borderId="5" xfId="0" applyNumberFormat="1" applyFont="1" applyBorder="1" applyAlignment="1">
      <alignment vertical="center"/>
    </xf>
    <xf numFmtId="165" fontId="1" fillId="0" borderId="3" xfId="0" applyNumberFormat="1" applyFont="1" applyBorder="1" applyAlignment="1">
      <alignment vertical="center"/>
    </xf>
    <xf numFmtId="0" fontId="1" fillId="0" borderId="6"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164" fontId="1" fillId="3" borderId="4" xfId="0" applyNumberFormat="1" applyFont="1" applyFill="1" applyBorder="1" applyAlignment="1">
      <alignment vertical="center"/>
    </xf>
    <xf numFmtId="165" fontId="1" fillId="3" borderId="5" xfId="0" applyNumberFormat="1" applyFont="1" applyFill="1" applyBorder="1" applyAlignment="1">
      <alignment vertical="center"/>
    </xf>
    <xf numFmtId="165" fontId="1" fillId="3" borderId="4" xfId="0" applyNumberFormat="1" applyFont="1" applyFill="1" applyBorder="1" applyAlignment="1">
      <alignment vertical="center"/>
    </xf>
    <xf numFmtId="0" fontId="1" fillId="3" borderId="5" xfId="0" applyFont="1" applyFill="1" applyBorder="1" applyAlignment="1">
      <alignment vertical="center"/>
    </xf>
    <xf numFmtId="0" fontId="1" fillId="3" borderId="4" xfId="0" applyFont="1" applyFill="1" applyBorder="1" applyAlignment="1">
      <alignment vertical="center"/>
    </xf>
    <xf numFmtId="0" fontId="1" fillId="3" borderId="6" xfId="0" applyFont="1" applyFill="1" applyBorder="1" applyAlignment="1">
      <alignment vertical="center"/>
    </xf>
    <xf numFmtId="0" fontId="1" fillId="0" borderId="5" xfId="0" applyFont="1" applyBorder="1" applyAlignment="1">
      <alignment vertical="center"/>
    </xf>
    <xf numFmtId="164" fontId="1" fillId="0" borderId="7" xfId="0" applyNumberFormat="1" applyFont="1" applyBorder="1" applyAlignment="1">
      <alignment vertical="center"/>
    </xf>
    <xf numFmtId="164" fontId="1" fillId="0" borderId="8" xfId="0" applyNumberFormat="1" applyFont="1" applyBorder="1" applyAlignment="1">
      <alignment vertical="center"/>
    </xf>
    <xf numFmtId="165" fontId="1" fillId="0" borderId="9" xfId="0" applyNumberFormat="1" applyFont="1" applyBorder="1" applyAlignment="1">
      <alignment vertical="center"/>
    </xf>
    <xf numFmtId="165" fontId="1" fillId="0" borderId="10" xfId="0" applyNumberFormat="1" applyFont="1" applyBorder="1" applyAlignment="1">
      <alignment vertical="center"/>
    </xf>
    <xf numFmtId="0" fontId="1" fillId="0" borderId="11" xfId="0" applyFont="1" applyBorder="1" applyAlignment="1">
      <alignment vertical="center"/>
    </xf>
    <xf numFmtId="0" fontId="1" fillId="0" borderId="10" xfId="0" applyFont="1" applyBorder="1" applyAlignment="1">
      <alignment vertical="center"/>
    </xf>
    <xf numFmtId="0" fontId="1" fillId="0" borderId="12" xfId="0" applyFont="1" applyBorder="1" applyAlignment="1">
      <alignment vertical="center"/>
    </xf>
    <xf numFmtId="164" fontId="1" fillId="3" borderId="1" xfId="0" applyNumberFormat="1" applyFont="1" applyFill="1" applyBorder="1" applyAlignment="1">
      <alignment vertical="center"/>
    </xf>
    <xf numFmtId="164" fontId="1" fillId="0" borderId="13" xfId="0" applyNumberFormat="1" applyFont="1" applyBorder="1" applyAlignment="1">
      <alignment vertical="center"/>
    </xf>
    <xf numFmtId="164" fontId="1" fillId="3" borderId="13" xfId="0" applyNumberFormat="1" applyFont="1" applyFill="1" applyBorder="1" applyAlignment="1">
      <alignment vertical="center"/>
    </xf>
    <xf numFmtId="164" fontId="1" fillId="0" borderId="14" xfId="0" applyNumberFormat="1" applyFont="1" applyBorder="1" applyAlignment="1">
      <alignment vertical="center"/>
    </xf>
    <xf numFmtId="0" fontId="3" fillId="2" borderId="0" xfId="0" applyFont="1" applyFill="1" applyAlignment="1">
      <alignment horizontal="left" vertical="center"/>
    </xf>
    <xf numFmtId="0" fontId="3" fillId="2" borderId="15" xfId="0" applyFont="1" applyFill="1" applyBorder="1" applyAlignment="1">
      <alignment horizontal="left" vertical="center"/>
    </xf>
    <xf numFmtId="165" fontId="3" fillId="2" borderId="15" xfId="0" applyNumberFormat="1" applyFont="1" applyFill="1" applyBorder="1" applyAlignment="1">
      <alignment horizontal="left" vertical="center"/>
    </xf>
    <xf numFmtId="0" fontId="1" fillId="0" borderId="7" xfId="0" applyFont="1" applyBorder="1" applyAlignment="1">
      <alignment vertical="center"/>
    </xf>
    <xf numFmtId="0" fontId="4" fillId="0" borderId="16" xfId="0" applyFont="1" applyBorder="1" applyAlignment="1">
      <alignment horizontal="left" vertical="center"/>
    </xf>
    <xf numFmtId="0" fontId="4" fillId="0" borderId="17" xfId="0" applyFont="1" applyBorder="1" applyAlignment="1">
      <alignment horizontal="left" vertical="center"/>
    </xf>
    <xf numFmtId="0" fontId="4" fillId="0" borderId="18" xfId="0" applyFont="1" applyBorder="1" applyAlignment="1">
      <alignment horizontal="left" vertical="center"/>
    </xf>
    <xf numFmtId="164" fontId="4" fillId="0" borderId="19" xfId="0" applyNumberFormat="1" applyFont="1" applyBorder="1" applyAlignment="1">
      <alignment vertical="center"/>
    </xf>
    <xf numFmtId="0" fontId="4" fillId="0" borderId="20" xfId="0" applyFont="1" applyBorder="1" applyAlignment="1">
      <alignment vertical="center"/>
    </xf>
    <xf numFmtId="0" fontId="4" fillId="0" borderId="21" xfId="0" applyFont="1" applyBorder="1" applyAlignment="1">
      <alignment vertical="center"/>
    </xf>
    <xf numFmtId="164" fontId="4" fillId="0" borderId="22" xfId="0" applyNumberFormat="1" applyFont="1" applyBorder="1" applyAlignment="1">
      <alignment vertical="center"/>
    </xf>
    <xf numFmtId="0" fontId="4" fillId="0" borderId="23" xfId="0" applyFont="1" applyBorder="1" applyAlignment="1">
      <alignment vertical="center"/>
    </xf>
    <xf numFmtId="0" fontId="4" fillId="0" borderId="24" xfId="0" applyFont="1" applyBorder="1" applyAlignment="1">
      <alignment vertical="center"/>
    </xf>
    <xf numFmtId="164" fontId="4" fillId="0" borderId="25" xfId="0" applyNumberFormat="1" applyFont="1" applyBorder="1" applyAlignment="1">
      <alignment vertical="center"/>
    </xf>
    <xf numFmtId="0" fontId="4" fillId="0" borderId="26" xfId="0" applyFont="1" applyBorder="1" applyAlignment="1">
      <alignment vertical="center"/>
    </xf>
    <xf numFmtId="0" fontId="4" fillId="0" borderId="27" xfId="0" applyFont="1" applyBorder="1" applyAlignment="1">
      <alignment vertical="center"/>
    </xf>
    <xf numFmtId="0" fontId="0" fillId="4" borderId="0" xfId="0" applyFill="1"/>
    <xf numFmtId="0" fontId="0" fillId="0" borderId="0" xfId="0" pivotButton="1"/>
    <xf numFmtId="0" fontId="0" fillId="0" borderId="0" xfId="0" applyAlignment="1">
      <alignment horizontal="left"/>
    </xf>
    <xf numFmtId="10" fontId="0" fillId="0" borderId="0" xfId="0" applyNumberFormat="1"/>
    <xf numFmtId="166" fontId="0" fillId="0" borderId="0" xfId="0" applyNumberFormat="1"/>
  </cellXfs>
  <cellStyles count="1">
    <cellStyle name="Normal" xfId="0" builtinId="0"/>
  </cellStyles>
  <dxfs count="27">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border diagonalUp="0" diagonalDown="0">
        <left style="thin">
          <color rgb="FFF8F9FA"/>
        </left>
        <right/>
        <top style="thin">
          <color rgb="FFF8F9FA"/>
        </top>
        <bottom/>
        <vertical/>
        <horizontal/>
      </border>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border diagonalUp="0" diagonalDown="0">
        <left style="thin">
          <color rgb="FFF8F9FA"/>
        </left>
        <right/>
        <top style="thin">
          <color rgb="FFFFFFFF"/>
        </top>
        <bottom/>
        <vertical/>
        <horizontal/>
      </border>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border diagonalUp="0" diagonalDown="0">
        <left style="thin">
          <color rgb="FFF8F9FA"/>
        </left>
        <right/>
        <top style="thin">
          <color rgb="FFF8F9FA"/>
        </top>
        <bottom/>
        <vertical/>
        <horizontal/>
      </border>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border diagonalUp="0" diagonalDown="0">
        <left style="thin">
          <color rgb="FFF8F9FA"/>
        </left>
        <right/>
        <top style="thin">
          <color rgb="FFF8F9FA"/>
        </top>
        <bottom/>
        <vertical/>
        <horizontal/>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rgb="FFF8F9FA"/>
        </left>
        <right/>
        <top style="thin">
          <color rgb="FFF8F9FA"/>
        </top>
        <bottom/>
        <vertical/>
        <horizontal/>
      </border>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border diagonalUp="0" diagonalDown="0">
        <left style="thin">
          <color rgb="FFF8F9FA"/>
        </left>
        <right/>
        <top style="thin">
          <color rgb="FFFFFFFF"/>
        </top>
        <bottom/>
        <vertical/>
        <horizontal/>
      </border>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border diagonalUp="0" diagonalDown="0">
        <left style="thin">
          <color rgb="FFF8F9FA"/>
        </left>
        <right/>
        <top style="thin">
          <color rgb="FFF8F9FA"/>
        </top>
        <bottom/>
        <vertical/>
        <horizontal/>
      </border>
    </dxf>
    <dxf>
      <font>
        <b val="0"/>
        <i val="0"/>
        <strike val="0"/>
        <condense val="0"/>
        <extend val="0"/>
        <outline val="0"/>
        <shadow val="0"/>
        <u val="none"/>
        <vertAlign val="baseline"/>
        <sz val="10"/>
        <color rgb="FF000000"/>
        <name val="Arial"/>
        <scheme val="none"/>
      </font>
      <numFmt numFmtId="165" formatCode="[$-F400]h:mm:ss\ AM/PM"/>
      <alignment horizontal="general" vertical="center" textRotation="0" wrapText="0" indent="0" justifyLastLine="0" shrinkToFit="0" readingOrder="0"/>
      <border diagonalUp="0" diagonalDown="0">
        <left style="thin">
          <color rgb="FFF8F9FA"/>
        </left>
        <right/>
        <top style="thin">
          <color rgb="FFFFFFFF"/>
        </top>
        <bottom/>
        <vertical/>
        <horizontal/>
      </border>
    </dxf>
    <dxf>
      <font>
        <b val="0"/>
        <i val="0"/>
        <strike val="0"/>
        <condense val="0"/>
        <extend val="0"/>
        <outline val="0"/>
        <shadow val="0"/>
        <u val="none"/>
        <vertAlign val="baseline"/>
        <sz val="10"/>
        <color rgb="FF000000"/>
        <name val="Arial"/>
        <scheme val="none"/>
      </font>
      <numFmt numFmtId="165" formatCode="[$-F400]h:mm:ss\ AM/PM"/>
      <alignment horizontal="general" vertical="center" textRotation="0" wrapText="0" indent="0" justifyLastLine="0" shrinkToFit="0" readingOrder="0"/>
      <border diagonalUp="0" diagonalDown="0">
        <left style="thin">
          <color rgb="FFFFFFFF"/>
        </left>
        <right/>
        <top style="thin">
          <color rgb="FFF8F9FA"/>
        </top>
        <bottom/>
        <vertical/>
        <horizontal/>
      </border>
    </dxf>
    <dxf>
      <font>
        <b val="0"/>
        <i val="0"/>
        <strike val="0"/>
        <condense val="0"/>
        <extend val="0"/>
        <outline val="0"/>
        <shadow val="0"/>
        <u val="none"/>
        <vertAlign val="baseline"/>
        <sz val="10"/>
        <color rgb="FF000000"/>
        <name val="Arial"/>
        <scheme val="none"/>
      </font>
      <numFmt numFmtId="164" formatCode="m/d/yyyy\ h:mm:ss"/>
      <alignment horizontal="general" vertical="center" textRotation="0" wrapText="0" indent="0" justifyLastLine="0" shrinkToFit="0" readingOrder="0"/>
      <border diagonalUp="0" diagonalDown="0">
        <left style="thin">
          <color rgb="FFFFFFFF"/>
        </left>
        <right/>
        <top style="thin">
          <color rgb="FFFFFFFF"/>
        </top>
        <bottom/>
        <vertical/>
        <horizontal/>
      </border>
    </dxf>
    <dxf>
      <font>
        <b val="0"/>
        <i val="0"/>
        <strike val="0"/>
        <condense val="0"/>
        <extend val="0"/>
        <outline val="0"/>
        <shadow val="0"/>
        <u val="none"/>
        <vertAlign val="baseline"/>
        <sz val="10"/>
        <color rgb="FF000000"/>
        <name val="Arial"/>
        <scheme val="none"/>
      </font>
      <numFmt numFmtId="164" formatCode="m/d/yyyy\ h:mm:ss"/>
      <alignment horizontal="general" vertical="center" textRotation="0" wrapText="0" indent="0" justifyLastLine="0" shrinkToFit="0" readingOrder="0"/>
      <border diagonalUp="0" diagonalDown="0">
        <left style="thin">
          <color rgb="FFF8F9FA"/>
        </left>
        <right/>
        <top style="thin">
          <color rgb="FFFFFFFF"/>
        </top>
        <bottom/>
        <vertical/>
        <horizontal/>
      </border>
    </dxf>
    <dxf>
      <font>
        <b val="0"/>
        <i val="0"/>
        <strike val="0"/>
        <condense val="0"/>
        <extend val="0"/>
        <outline val="0"/>
        <shadow val="0"/>
        <u val="none"/>
        <vertAlign val="baseline"/>
        <sz val="10"/>
        <color rgb="FF000000"/>
        <name val="Arial"/>
        <scheme val="none"/>
      </font>
      <numFmt numFmtId="164" formatCode="m/d/yyyy\ h:mm:ss"/>
      <alignment horizontal="general" vertical="center" textRotation="0" wrapText="0" indent="0" justifyLastLine="0" shrinkToFit="0" readingOrder="0"/>
      <border diagonalUp="0" diagonalDown="0">
        <left/>
        <right/>
        <top style="thin">
          <color rgb="FFF8F9FA"/>
        </top>
        <bottom/>
        <vertical/>
        <horizontal/>
      </border>
    </dxf>
    <dxf>
      <border outline="0">
        <left style="thin">
          <color rgb="FF442F65"/>
        </left>
        <right style="thin">
          <color rgb="FF442F65"/>
        </right>
        <top style="thin">
          <color rgb="FF442F65"/>
        </top>
      </border>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i val="0"/>
        <strike val="0"/>
        <condense val="0"/>
        <extend val="0"/>
        <outline val="0"/>
        <shadow val="0"/>
        <u val="none"/>
        <vertAlign val="baseline"/>
        <sz val="10"/>
        <color rgb="FF000000"/>
        <name val="Arial"/>
        <scheme val="none"/>
      </font>
      <fill>
        <patternFill patternType="solid">
          <fgColor theme="4"/>
          <bgColor theme="4"/>
        </patternFill>
      </fill>
      <alignment horizontal="left" vertical="center" textRotation="0" wrapText="0" indent="0" justifyLastLine="0" shrinkToFit="0" readingOrder="0"/>
      <border diagonalUp="0" diagonalDown="0" outline="0">
        <left style="thin">
          <color rgb="FF5B3F86"/>
        </left>
        <right style="thin">
          <color rgb="FF5B3F86"/>
        </right>
        <top/>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ont>
        <b/>
        <i val="0"/>
        <sz val="12"/>
        <color rgb="FF006D77"/>
        <name val="Calibri"/>
        <family val="2"/>
        <scheme val="minor"/>
      </font>
    </dxf>
    <dxf>
      <font>
        <b/>
        <i val="0"/>
        <sz val="16"/>
        <color rgb="FFE0E0E0"/>
        <name val="Calibri"/>
        <family val="2"/>
        <scheme val="minor"/>
      </font>
    </dxf>
  </dxfs>
  <tableStyles count="2" defaultTableStyle="TableStyleMedium2" defaultPivotStyle="PivotStyleLight16">
    <tableStyle name="ASAP" pivot="0" table="0" count="4" xr9:uid="{E7D475CE-B638-48AE-87B4-E3F07FB78E8D}">
      <tableStyleElement type="wholeTable" dxfId="26"/>
      <tableStyleElement type="headerRow" dxfId="25"/>
    </tableStyle>
    <tableStyle name="Form Responses 1-style" pivot="0" count="4" xr9:uid="{2E1ECEE7-A453-4D5E-81B0-21DCDB170100}">
      <tableStyleElement type="wholeTable" size="0"/>
      <tableStyleElement type="headerRow" dxfId="24"/>
      <tableStyleElement type="firstRowStripe" dxfId="23"/>
      <tableStyleElement type="secondRowStripe" dxfId="22"/>
    </tableStyle>
  </tableStyles>
  <colors>
    <mruColors>
      <color rgb="FFE0E0E0"/>
      <color rgb="FF006D77"/>
      <color rgb="FF4ECDC4"/>
      <color rgb="FFFFE66D"/>
      <color rgb="FFA0A0A0"/>
      <color rgb="FF1E1E2F"/>
      <color rgb="FF334155"/>
      <color rgb="FFCBD5E1"/>
      <color rgb="FFFFFFFF"/>
      <color rgb="FFE2E8F0"/>
    </mruColors>
  </colors>
  <extLst>
    <ext xmlns:x14="http://schemas.microsoft.com/office/spreadsheetml/2009/9/main" uri="{46F421CA-312F-682f-3DD2-61675219B42D}">
      <x14:dxfs count="2">
        <dxf>
          <font>
            <b/>
            <i val="0"/>
            <sz val="14"/>
            <color rgb="FF006D77"/>
            <name val="Calibri"/>
            <family val="2"/>
            <scheme val="minor"/>
          </font>
        </dxf>
        <dxf>
          <font>
            <b/>
            <i val="0"/>
            <sz val="14"/>
            <color rgb="FFE0E0E0"/>
            <name val="Calibri"/>
            <family val="2"/>
            <scheme val="minor"/>
          </font>
        </dxf>
      </x14:dxfs>
    </ext>
    <ext xmlns:x14="http://schemas.microsoft.com/office/spreadsheetml/2009/9/main" uri="{EB79DEF2-80B8-43e5-95BD-54CBDDF9020C}">
      <x14:slicerStyles defaultSlicerStyle="SlicerStyleLight1">
        <x14:slicerStyle name="ASAP">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[ASAP_2.0_Bootcamp_analysis.xlsx]ANALYSIS!PivotTable3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6D77"/>
          </a:solidFill>
          <a:ln>
            <a:solidFill>
              <a:srgbClr val="006D7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c:f>
              <c:strCache>
                <c:ptCount val="1"/>
                <c:pt idx="0">
                  <c:v>Total</c:v>
                </c:pt>
              </c:strCache>
            </c:strRef>
          </c:tx>
          <c:spPr>
            <a:solidFill>
              <a:srgbClr val="006D77"/>
            </a:solidFill>
            <a:ln>
              <a:solidFill>
                <a:srgbClr val="006D77"/>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ANALYSIS!$D$3:$D$7</c:f>
              <c:strCache>
                <c:ptCount val="4"/>
                <c:pt idx="0">
                  <c:v>MON</c:v>
                </c:pt>
                <c:pt idx="1">
                  <c:v>TUE</c:v>
                </c:pt>
                <c:pt idx="2">
                  <c:v>THU</c:v>
                </c:pt>
                <c:pt idx="3">
                  <c:v>SUN</c:v>
                </c:pt>
              </c:strCache>
            </c:strRef>
          </c:cat>
          <c:val>
            <c:numRef>
              <c:f>ANALYSIS!$E$3:$E$7</c:f>
              <c:numCache>
                <c:formatCode>0.0%</c:formatCode>
                <c:ptCount val="4"/>
                <c:pt idx="0">
                  <c:v>0.13043478260869565</c:v>
                </c:pt>
                <c:pt idx="1">
                  <c:v>8.6956521739130432E-2</c:v>
                </c:pt>
                <c:pt idx="2">
                  <c:v>4.3478260869565216E-2</c:v>
                </c:pt>
                <c:pt idx="3">
                  <c:v>0.73913043478260865</c:v>
                </c:pt>
              </c:numCache>
            </c:numRef>
          </c:val>
          <c:extLst>
            <c:ext xmlns:c16="http://schemas.microsoft.com/office/drawing/2014/chart" uri="{C3380CC4-5D6E-409C-BE32-E72D297353CC}">
              <c16:uniqueId val="{00000000-5EBD-42F2-AD33-5742F92851B4}"/>
            </c:ext>
          </c:extLst>
        </c:ser>
        <c:dLbls>
          <c:dLblPos val="outEnd"/>
          <c:showLegendKey val="0"/>
          <c:showVal val="1"/>
          <c:showCatName val="0"/>
          <c:showSerName val="0"/>
          <c:showPercent val="0"/>
          <c:showBubbleSize val="0"/>
        </c:dLbls>
        <c:gapWidth val="219"/>
        <c:overlap val="-27"/>
        <c:axId val="1305232272"/>
        <c:axId val="1305250032"/>
      </c:barChart>
      <c:catAx>
        <c:axId val="130523227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NG"/>
          </a:p>
        </c:txPr>
        <c:crossAx val="1305250032"/>
        <c:crosses val="autoZero"/>
        <c:auto val="1"/>
        <c:lblAlgn val="ctr"/>
        <c:lblOffset val="100"/>
        <c:noMultiLvlLbl val="0"/>
      </c:catAx>
      <c:valAx>
        <c:axId val="1305250032"/>
        <c:scaling>
          <c:orientation val="minMax"/>
        </c:scaling>
        <c:delete val="1"/>
        <c:axPos val="l"/>
        <c:numFmt formatCode="0.0%" sourceLinked="1"/>
        <c:majorTickMark val="out"/>
        <c:minorTickMark val="none"/>
        <c:tickLblPos val="nextTo"/>
        <c:crossAx val="130523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[ASAP_2.0_Bootcamp_analysis.xlsx]ANALYSIS!PivotTable4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6D7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6D77"/>
          </a:solidFill>
          <a:ln w="19050">
            <a:solidFill>
              <a:schemeClr val="accent3"/>
            </a:solidFill>
          </a:ln>
          <a:effectLst/>
        </c:spPr>
      </c:pivotFmt>
      <c:pivotFmt>
        <c:idx val="6"/>
        <c:spPr>
          <a:solidFill>
            <a:srgbClr val="FF0000"/>
          </a:solidFill>
          <a:ln w="19050">
            <a:solidFill>
              <a:schemeClr val="accent3"/>
            </a:solidFill>
          </a:ln>
          <a:effectLst/>
        </c:spPr>
      </c:pivotFmt>
    </c:pivotFmts>
    <c:plotArea>
      <c:layout/>
      <c:pieChart>
        <c:varyColors val="1"/>
        <c:ser>
          <c:idx val="0"/>
          <c:order val="0"/>
          <c:tx>
            <c:strRef>
              <c:f>ANALYSIS!$E$10</c:f>
              <c:strCache>
                <c:ptCount val="1"/>
                <c:pt idx="0">
                  <c:v>Total</c:v>
                </c:pt>
              </c:strCache>
            </c:strRef>
          </c:tx>
          <c:spPr>
            <a:solidFill>
              <a:srgbClr val="006D77"/>
            </a:solidFill>
          </c:spPr>
          <c:dPt>
            <c:idx val="0"/>
            <c:bubble3D val="0"/>
            <c:spPr>
              <a:solidFill>
                <a:srgbClr val="006D77"/>
              </a:solidFill>
              <a:ln w="19050">
                <a:solidFill>
                  <a:schemeClr val="accent3"/>
                </a:solidFill>
              </a:ln>
              <a:effectLst/>
            </c:spPr>
            <c:extLst>
              <c:ext xmlns:c16="http://schemas.microsoft.com/office/drawing/2014/chart" uri="{C3380CC4-5D6E-409C-BE32-E72D297353CC}">
                <c16:uniqueId val="{00000001-F56C-45EE-97F7-B3F56C3C2FBC}"/>
              </c:ext>
            </c:extLst>
          </c:dPt>
          <c:dPt>
            <c:idx val="1"/>
            <c:bubble3D val="0"/>
            <c:spPr>
              <a:solidFill>
                <a:srgbClr val="FF0000"/>
              </a:solidFill>
              <a:ln w="19050">
                <a:solidFill>
                  <a:schemeClr val="accent3"/>
                </a:solidFill>
              </a:ln>
              <a:effectLst/>
            </c:spPr>
            <c:extLst>
              <c:ext xmlns:c16="http://schemas.microsoft.com/office/drawing/2014/chart" uri="{C3380CC4-5D6E-409C-BE32-E72D297353CC}">
                <c16:uniqueId val="{00000003-F56C-45EE-97F7-B3F56C3C2FBC}"/>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ANALYSIS!$D$11:$D$13</c:f>
              <c:strCache>
                <c:ptCount val="2"/>
                <c:pt idx="0">
                  <c:v>AM</c:v>
                </c:pt>
                <c:pt idx="1">
                  <c:v>PM</c:v>
                </c:pt>
              </c:strCache>
            </c:strRef>
          </c:cat>
          <c:val>
            <c:numRef>
              <c:f>ANALYSIS!$E$11:$E$13</c:f>
              <c:numCache>
                <c:formatCode>0.0%</c:formatCode>
                <c:ptCount val="2"/>
                <c:pt idx="0">
                  <c:v>0.56521739130434778</c:v>
                </c:pt>
                <c:pt idx="1">
                  <c:v>0.43478260869565216</c:v>
                </c:pt>
              </c:numCache>
            </c:numRef>
          </c:val>
          <c:extLst>
            <c:ext xmlns:c16="http://schemas.microsoft.com/office/drawing/2014/chart" uri="{C3380CC4-5D6E-409C-BE32-E72D297353CC}">
              <c16:uniqueId val="{00000004-F56C-45EE-97F7-B3F56C3C2FBC}"/>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30434679485639332"/>
          <c:y val="0.85646981169549152"/>
          <c:w val="0.40695432963759048"/>
          <c:h val="0.1058831201811011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[ASAP_2.0_Bootcamp_analysis.xlsx]ANALYSIS!PivotTable5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6D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91621236920571"/>
          <c:y val="7.521367521367521E-2"/>
          <c:w val="0.72700030488076095"/>
          <c:h val="0.84957264957264955"/>
        </c:manualLayout>
      </c:layout>
      <c:barChart>
        <c:barDir val="bar"/>
        <c:grouping val="clustered"/>
        <c:varyColors val="0"/>
        <c:ser>
          <c:idx val="0"/>
          <c:order val="0"/>
          <c:tx>
            <c:strRef>
              <c:f>ANALYSIS!$E$16</c:f>
              <c:strCache>
                <c:ptCount val="1"/>
                <c:pt idx="0">
                  <c:v>Total</c:v>
                </c:pt>
              </c:strCache>
            </c:strRef>
          </c:tx>
          <c:spPr>
            <a:solidFill>
              <a:srgbClr val="006D7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ANALYSIS!$D$17:$D$21</c:f>
              <c:strCache>
                <c:ptCount val="4"/>
                <c:pt idx="0">
                  <c:v>35 - 44 Years</c:v>
                </c:pt>
                <c:pt idx="1">
                  <c:v>Under 18 Years</c:v>
                </c:pt>
                <c:pt idx="2">
                  <c:v>18 - 24 Years</c:v>
                </c:pt>
                <c:pt idx="3">
                  <c:v>25 - 34 Years</c:v>
                </c:pt>
              </c:strCache>
            </c:strRef>
          </c:cat>
          <c:val>
            <c:numRef>
              <c:f>ANALYSIS!$E$17:$E$21</c:f>
              <c:numCache>
                <c:formatCode>0.0%</c:formatCode>
                <c:ptCount val="4"/>
                <c:pt idx="0">
                  <c:v>2.1739130434782608E-2</c:v>
                </c:pt>
                <c:pt idx="1">
                  <c:v>4.3478260869565216E-2</c:v>
                </c:pt>
                <c:pt idx="2">
                  <c:v>0.28260869565217389</c:v>
                </c:pt>
                <c:pt idx="3">
                  <c:v>0.65217391304347827</c:v>
                </c:pt>
              </c:numCache>
            </c:numRef>
          </c:val>
          <c:extLst>
            <c:ext xmlns:c16="http://schemas.microsoft.com/office/drawing/2014/chart" uri="{C3380CC4-5D6E-409C-BE32-E72D297353CC}">
              <c16:uniqueId val="{00000000-37A5-47C7-88F4-1E75D55EFB41}"/>
            </c:ext>
          </c:extLst>
        </c:ser>
        <c:dLbls>
          <c:dLblPos val="outEnd"/>
          <c:showLegendKey val="0"/>
          <c:showVal val="1"/>
          <c:showCatName val="0"/>
          <c:showSerName val="0"/>
          <c:showPercent val="0"/>
          <c:showBubbleSize val="0"/>
        </c:dLbls>
        <c:gapWidth val="182"/>
        <c:axId val="1294900544"/>
        <c:axId val="1294904384"/>
      </c:barChart>
      <c:catAx>
        <c:axId val="129490054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50" b="1" i="0" u="none" strike="noStrike" kern="1200" baseline="0">
                <a:solidFill>
                  <a:schemeClr val="bg1"/>
                </a:solidFill>
                <a:latin typeface="+mn-lt"/>
                <a:ea typeface="+mn-ea"/>
                <a:cs typeface="+mn-cs"/>
              </a:defRPr>
            </a:pPr>
            <a:endParaRPr lang="en-NG"/>
          </a:p>
        </c:txPr>
        <c:crossAx val="1294904384"/>
        <c:crosses val="autoZero"/>
        <c:auto val="1"/>
        <c:lblAlgn val="ctr"/>
        <c:lblOffset val="100"/>
        <c:noMultiLvlLbl val="0"/>
      </c:catAx>
      <c:valAx>
        <c:axId val="1294904384"/>
        <c:scaling>
          <c:orientation val="minMax"/>
        </c:scaling>
        <c:delete val="1"/>
        <c:axPos val="b"/>
        <c:numFmt formatCode="0.0%" sourceLinked="1"/>
        <c:majorTickMark val="none"/>
        <c:minorTickMark val="none"/>
        <c:tickLblPos val="nextTo"/>
        <c:crossAx val="129490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[ASAP_2.0_Bootcamp_analysis.xlsx]ANALYSIS!PivotTable6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D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87639358153711"/>
          <c:y val="7.2131184784399005E-2"/>
          <c:w val="0.6638916256053331"/>
          <c:h val="0.90033917663052876"/>
        </c:manualLayout>
      </c:layout>
      <c:barChart>
        <c:barDir val="bar"/>
        <c:grouping val="clustered"/>
        <c:varyColors val="0"/>
        <c:ser>
          <c:idx val="0"/>
          <c:order val="0"/>
          <c:tx>
            <c:strRef>
              <c:f>ANALYSIS!$H$2</c:f>
              <c:strCache>
                <c:ptCount val="1"/>
                <c:pt idx="0">
                  <c:v>Total</c:v>
                </c:pt>
              </c:strCache>
            </c:strRef>
          </c:tx>
          <c:spPr>
            <a:solidFill>
              <a:srgbClr val="006D7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ANALYSIS!$G$3:$G$8</c:f>
              <c:strCache>
                <c:ptCount val="5"/>
                <c:pt idx="0">
                  <c:v>Other</c:v>
                </c:pt>
                <c:pt idx="1">
                  <c:v>Postgraduate</c:v>
                </c:pt>
                <c:pt idx="2">
                  <c:v>OND/NCE</c:v>
                </c:pt>
                <c:pt idx="3">
                  <c:v>Secondary</c:v>
                </c:pt>
                <c:pt idx="4">
                  <c:v>HND/Bachelor's degree</c:v>
                </c:pt>
              </c:strCache>
            </c:strRef>
          </c:cat>
          <c:val>
            <c:numRef>
              <c:f>ANALYSIS!$H$3:$H$8</c:f>
              <c:numCache>
                <c:formatCode>0.0%</c:formatCode>
                <c:ptCount val="5"/>
                <c:pt idx="0">
                  <c:v>2.1739130434782608E-2</c:v>
                </c:pt>
                <c:pt idx="1">
                  <c:v>4.3478260869565216E-2</c:v>
                </c:pt>
                <c:pt idx="2">
                  <c:v>8.6956521739130432E-2</c:v>
                </c:pt>
                <c:pt idx="3">
                  <c:v>0.10869565217391304</c:v>
                </c:pt>
                <c:pt idx="4">
                  <c:v>0.73913043478260865</c:v>
                </c:pt>
              </c:numCache>
            </c:numRef>
          </c:val>
          <c:extLst>
            <c:ext xmlns:c16="http://schemas.microsoft.com/office/drawing/2014/chart" uri="{C3380CC4-5D6E-409C-BE32-E72D297353CC}">
              <c16:uniqueId val="{00000000-7012-4E50-9D3E-D319288A2241}"/>
            </c:ext>
          </c:extLst>
        </c:ser>
        <c:dLbls>
          <c:dLblPos val="outEnd"/>
          <c:showLegendKey val="0"/>
          <c:showVal val="1"/>
          <c:showCatName val="0"/>
          <c:showSerName val="0"/>
          <c:showPercent val="0"/>
          <c:showBubbleSize val="0"/>
        </c:dLbls>
        <c:gapWidth val="182"/>
        <c:axId val="1305250512"/>
        <c:axId val="1305230352"/>
      </c:barChart>
      <c:catAx>
        <c:axId val="130525051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NG"/>
          </a:p>
        </c:txPr>
        <c:crossAx val="1305230352"/>
        <c:crosses val="autoZero"/>
        <c:auto val="1"/>
        <c:lblAlgn val="ctr"/>
        <c:lblOffset val="100"/>
        <c:noMultiLvlLbl val="0"/>
      </c:catAx>
      <c:valAx>
        <c:axId val="1305230352"/>
        <c:scaling>
          <c:orientation val="minMax"/>
        </c:scaling>
        <c:delete val="1"/>
        <c:axPos val="b"/>
        <c:numFmt formatCode="0.0%" sourceLinked="1"/>
        <c:majorTickMark val="none"/>
        <c:minorTickMark val="none"/>
        <c:tickLblPos val="nextTo"/>
        <c:crossAx val="130525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[ASAP_2.0_Bootcamp_analysis.xlsx]ANALYSIS!PivotTable7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D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ANALYSIS!$H$11</c:f>
              <c:strCache>
                <c:ptCount val="1"/>
                <c:pt idx="0">
                  <c:v>Total</c:v>
                </c:pt>
              </c:strCache>
            </c:strRef>
          </c:tx>
          <c:spPr>
            <a:solidFill>
              <a:srgbClr val="006D7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ANALYSIS!$G$12:$G$18</c:f>
              <c:strCache>
                <c:ptCount val="6"/>
                <c:pt idx="0">
                  <c:v>N/A</c:v>
                </c:pt>
                <c:pt idx="1">
                  <c:v>Explore</c:v>
                </c:pt>
                <c:pt idx="2">
                  <c:v>Self development</c:v>
                </c:pt>
                <c:pt idx="3">
                  <c:v>Learn</c:v>
                </c:pt>
                <c:pt idx="4">
                  <c:v>Upskill</c:v>
                </c:pt>
                <c:pt idx="5">
                  <c:v>More Knowledge</c:v>
                </c:pt>
              </c:strCache>
            </c:strRef>
          </c:cat>
          <c:val>
            <c:numRef>
              <c:f>ANALYSIS!$H$12:$H$18</c:f>
              <c:numCache>
                <c:formatCode>0.0%</c:formatCode>
                <c:ptCount val="6"/>
                <c:pt idx="0">
                  <c:v>2.1739130434782608E-2</c:v>
                </c:pt>
                <c:pt idx="1">
                  <c:v>6.5217391304347824E-2</c:v>
                </c:pt>
                <c:pt idx="2">
                  <c:v>0.13043478260869565</c:v>
                </c:pt>
                <c:pt idx="3">
                  <c:v>0.19565217391304349</c:v>
                </c:pt>
                <c:pt idx="4">
                  <c:v>0.2391304347826087</c:v>
                </c:pt>
                <c:pt idx="5">
                  <c:v>0.34782608695652173</c:v>
                </c:pt>
              </c:numCache>
            </c:numRef>
          </c:val>
          <c:extLst>
            <c:ext xmlns:c16="http://schemas.microsoft.com/office/drawing/2014/chart" uri="{C3380CC4-5D6E-409C-BE32-E72D297353CC}">
              <c16:uniqueId val="{00000000-F81F-4662-ACE5-4C998CF43B50}"/>
            </c:ext>
          </c:extLst>
        </c:ser>
        <c:dLbls>
          <c:dLblPos val="outEnd"/>
          <c:showLegendKey val="0"/>
          <c:showVal val="1"/>
          <c:showCatName val="0"/>
          <c:showSerName val="0"/>
          <c:showPercent val="0"/>
          <c:showBubbleSize val="0"/>
        </c:dLbls>
        <c:gapWidth val="182"/>
        <c:axId val="1620281488"/>
        <c:axId val="1620276688"/>
      </c:barChart>
      <c:catAx>
        <c:axId val="16202814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NG"/>
          </a:p>
        </c:txPr>
        <c:crossAx val="1620276688"/>
        <c:crosses val="autoZero"/>
        <c:auto val="1"/>
        <c:lblAlgn val="ctr"/>
        <c:lblOffset val="100"/>
        <c:noMultiLvlLbl val="0"/>
      </c:catAx>
      <c:valAx>
        <c:axId val="1620276688"/>
        <c:scaling>
          <c:orientation val="minMax"/>
        </c:scaling>
        <c:delete val="1"/>
        <c:axPos val="b"/>
        <c:numFmt formatCode="0.0%" sourceLinked="1"/>
        <c:majorTickMark val="none"/>
        <c:minorTickMark val="none"/>
        <c:tickLblPos val="nextTo"/>
        <c:crossAx val="162028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[ASAP_2.0_Bootcamp_analysis.xlsx]ANALYSIS!PivotTable8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D77"/>
          </a:solidFill>
          <a:ln>
            <a:solidFill>
              <a:srgbClr val="006D7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ANALYSIS!$H$20</c:f>
              <c:strCache>
                <c:ptCount val="1"/>
                <c:pt idx="0">
                  <c:v>Total</c:v>
                </c:pt>
              </c:strCache>
            </c:strRef>
          </c:tx>
          <c:spPr>
            <a:solidFill>
              <a:srgbClr val="006D77"/>
            </a:solidFill>
            <a:ln>
              <a:solidFill>
                <a:srgbClr val="006D77"/>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ANALYSIS!$G$21:$G$25</c:f>
              <c:strCache>
                <c:ptCount val="4"/>
                <c:pt idx="0">
                  <c:v>Church</c:v>
                </c:pt>
                <c:pt idx="1">
                  <c:v>Social Media</c:v>
                </c:pt>
                <c:pt idx="2">
                  <c:v>Friend/Family</c:v>
                </c:pt>
                <c:pt idx="3">
                  <c:v>Flyer</c:v>
                </c:pt>
              </c:strCache>
            </c:strRef>
          </c:cat>
          <c:val>
            <c:numRef>
              <c:f>ANALYSIS!$H$21:$H$25</c:f>
              <c:numCache>
                <c:formatCode>0.0%</c:formatCode>
                <c:ptCount val="4"/>
                <c:pt idx="0">
                  <c:v>0.69565217391304346</c:v>
                </c:pt>
                <c:pt idx="1">
                  <c:v>0.19565217391304349</c:v>
                </c:pt>
                <c:pt idx="2">
                  <c:v>6.5217391304347824E-2</c:v>
                </c:pt>
                <c:pt idx="3">
                  <c:v>4.3478260869565216E-2</c:v>
                </c:pt>
              </c:numCache>
            </c:numRef>
          </c:val>
          <c:extLst>
            <c:ext xmlns:c16="http://schemas.microsoft.com/office/drawing/2014/chart" uri="{C3380CC4-5D6E-409C-BE32-E72D297353CC}">
              <c16:uniqueId val="{00000000-C924-4C5F-BCA5-39BA38A03DA7}"/>
            </c:ext>
          </c:extLst>
        </c:ser>
        <c:dLbls>
          <c:dLblPos val="outEnd"/>
          <c:showLegendKey val="0"/>
          <c:showVal val="1"/>
          <c:showCatName val="0"/>
          <c:showSerName val="0"/>
          <c:showPercent val="0"/>
          <c:showBubbleSize val="0"/>
        </c:dLbls>
        <c:gapWidth val="219"/>
        <c:overlap val="-27"/>
        <c:axId val="1620284368"/>
        <c:axId val="1620287248"/>
      </c:barChart>
      <c:catAx>
        <c:axId val="16202843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NG"/>
          </a:p>
        </c:txPr>
        <c:crossAx val="1620287248"/>
        <c:crosses val="autoZero"/>
        <c:auto val="1"/>
        <c:lblAlgn val="ctr"/>
        <c:lblOffset val="100"/>
        <c:noMultiLvlLbl val="0"/>
      </c:catAx>
      <c:valAx>
        <c:axId val="1620287248"/>
        <c:scaling>
          <c:orientation val="minMax"/>
        </c:scaling>
        <c:delete val="1"/>
        <c:axPos val="l"/>
        <c:numFmt formatCode="0.0%" sourceLinked="1"/>
        <c:majorTickMark val="none"/>
        <c:minorTickMark val="none"/>
        <c:tickLblPos val="nextTo"/>
        <c:crossAx val="162028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x.com/Smith_phardey?t=NqQGDWmESOeet4X-z1sNjA&amp;s=09" TargetMode="External"/><Relationship Id="rId13" Type="http://schemas.openxmlformats.org/officeDocument/2006/relationships/image" Target="../media/image5.jpeg"/><Relationship Id="rId3" Type="http://schemas.openxmlformats.org/officeDocument/2006/relationships/chart" Target="../charts/chart3.xml"/><Relationship Id="rId7" Type="http://schemas.openxmlformats.org/officeDocument/2006/relationships/image" Target="../media/image1.jpeg"/><Relationship Id="rId12" Type="http://schemas.openxmlformats.org/officeDocument/2006/relationships/image" Target="../media/image4.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7.jpeg"/><Relationship Id="rId10" Type="http://schemas.openxmlformats.org/officeDocument/2006/relationships/hyperlink" Target="https://www.linkedin.com/in/onifade-oluwagbemiga-9a44b12ab" TargetMode="External"/><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14</xdr:col>
      <xdr:colOff>94114</xdr:colOff>
      <xdr:row>5</xdr:row>
      <xdr:rowOff>164419</xdr:rowOff>
    </xdr:from>
    <xdr:to>
      <xdr:col>23</xdr:col>
      <xdr:colOff>353786</xdr:colOff>
      <xdr:row>12</xdr:row>
      <xdr:rowOff>153306</xdr:rowOff>
    </xdr:to>
    <xdr:sp macro="" textlink="">
      <xdr:nvSpPr>
        <xdr:cNvPr id="40" name="Rectangle: Rounded Corners 39">
          <a:extLst>
            <a:ext uri="{FF2B5EF4-FFF2-40B4-BE49-F238E27FC236}">
              <a16:creationId xmlns:a16="http://schemas.microsoft.com/office/drawing/2014/main" id="{885EFAB8-66E8-440C-5357-1AEC783288ED}"/>
            </a:ext>
          </a:extLst>
        </xdr:cNvPr>
        <xdr:cNvSpPr/>
      </xdr:nvSpPr>
      <xdr:spPr>
        <a:xfrm>
          <a:off x="8603114" y="1071562"/>
          <a:ext cx="5729743" cy="1258887"/>
        </a:xfrm>
        <a:prstGeom prst="roundRect">
          <a:avLst/>
        </a:prstGeom>
        <a:solidFill>
          <a:srgbClr val="FFFFFF"/>
        </a:solidFill>
        <a:ln>
          <a:solidFill>
            <a:srgbClr val="CBD5E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228598</xdr:colOff>
      <xdr:row>13</xdr:row>
      <xdr:rowOff>149225</xdr:rowOff>
    </xdr:from>
    <xdr:to>
      <xdr:col>8</xdr:col>
      <xdr:colOff>261938</xdr:colOff>
      <xdr:row>26</xdr:row>
      <xdr:rowOff>63501</xdr:rowOff>
    </xdr:to>
    <xdr:sp macro="" textlink="">
      <xdr:nvSpPr>
        <xdr:cNvPr id="20" name="Rectangle: Rounded Corners 19">
          <a:extLst>
            <a:ext uri="{FF2B5EF4-FFF2-40B4-BE49-F238E27FC236}">
              <a16:creationId xmlns:a16="http://schemas.microsoft.com/office/drawing/2014/main" id="{0F4F629A-7B55-176F-0617-C3B0C9FA7506}"/>
            </a:ext>
          </a:extLst>
        </xdr:cNvPr>
        <xdr:cNvSpPr/>
      </xdr:nvSpPr>
      <xdr:spPr>
        <a:xfrm>
          <a:off x="228598" y="2522538"/>
          <a:ext cx="4922840" cy="2287588"/>
        </a:xfrm>
        <a:prstGeom prst="roundRect">
          <a:avLst/>
        </a:prstGeom>
        <a:solidFill>
          <a:srgbClr val="A0A0A0"/>
        </a:solidFill>
        <a:ln>
          <a:solidFill>
            <a:srgbClr val="CBD5E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311149</xdr:colOff>
      <xdr:row>0</xdr:row>
      <xdr:rowOff>120650</xdr:rowOff>
    </xdr:from>
    <xdr:to>
      <xdr:col>23</xdr:col>
      <xdr:colOff>290286</xdr:colOff>
      <xdr:row>5</xdr:row>
      <xdr:rowOff>114300</xdr:rowOff>
    </xdr:to>
    <xdr:sp macro="" textlink="">
      <xdr:nvSpPr>
        <xdr:cNvPr id="4" name="Rectangle: Rounded Corners 3">
          <a:extLst>
            <a:ext uri="{FF2B5EF4-FFF2-40B4-BE49-F238E27FC236}">
              <a16:creationId xmlns:a16="http://schemas.microsoft.com/office/drawing/2014/main" id="{008AA8BF-3421-AD27-9535-5CDC6E14D4BD}"/>
            </a:ext>
          </a:extLst>
        </xdr:cNvPr>
        <xdr:cNvSpPr/>
      </xdr:nvSpPr>
      <xdr:spPr>
        <a:xfrm>
          <a:off x="311149" y="120650"/>
          <a:ext cx="13958208" cy="900793"/>
        </a:xfrm>
        <a:prstGeom prst="roundRect">
          <a:avLst/>
        </a:prstGeom>
        <a:solidFill>
          <a:srgbClr val="006D77"/>
        </a:solidFill>
        <a:ln>
          <a:solidFill>
            <a:srgbClr val="006D77"/>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oneCellAnchor>
    <xdr:from>
      <xdr:col>2</xdr:col>
      <xdr:colOff>261938</xdr:colOff>
      <xdr:row>0</xdr:row>
      <xdr:rowOff>87312</xdr:rowOff>
    </xdr:from>
    <xdr:ext cx="11585348" cy="937629"/>
    <xdr:sp macro="" textlink="">
      <xdr:nvSpPr>
        <xdr:cNvPr id="5" name="TextBox 4">
          <a:extLst>
            <a:ext uri="{FF2B5EF4-FFF2-40B4-BE49-F238E27FC236}">
              <a16:creationId xmlns:a16="http://schemas.microsoft.com/office/drawing/2014/main" id="{3D713347-3629-62CD-2CEF-D8C372DFDA90}"/>
            </a:ext>
          </a:extLst>
        </xdr:cNvPr>
        <xdr:cNvSpPr txBox="1"/>
      </xdr:nvSpPr>
      <xdr:spPr>
        <a:xfrm>
          <a:off x="1477509" y="87312"/>
          <a:ext cx="11585348" cy="937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5400" b="1">
              <a:solidFill>
                <a:schemeClr val="bg1"/>
              </a:solidFill>
            </a:rPr>
            <a:t>ASAP DATA ANALYSIS BOOTCAMP 2.0</a:t>
          </a:r>
          <a:endParaRPr lang="en-NG" sz="5400" b="1">
            <a:solidFill>
              <a:schemeClr val="bg1"/>
            </a:solidFill>
          </a:endParaRPr>
        </a:p>
      </xdr:txBody>
    </xdr:sp>
    <xdr:clientData/>
  </xdr:oneCellAnchor>
  <xdr:twoCellAnchor>
    <xdr:from>
      <xdr:col>0</xdr:col>
      <xdr:colOff>257174</xdr:colOff>
      <xdr:row>6</xdr:row>
      <xdr:rowOff>50801</xdr:rowOff>
    </xdr:from>
    <xdr:to>
      <xdr:col>4</xdr:col>
      <xdr:colOff>508000</xdr:colOff>
      <xdr:row>13</xdr:row>
      <xdr:rowOff>39688</xdr:rowOff>
    </xdr:to>
    <xdr:sp macro="" textlink="">
      <xdr:nvSpPr>
        <xdr:cNvPr id="6" name="Rectangle: Rounded Corners 5">
          <a:extLst>
            <a:ext uri="{FF2B5EF4-FFF2-40B4-BE49-F238E27FC236}">
              <a16:creationId xmlns:a16="http://schemas.microsoft.com/office/drawing/2014/main" id="{579B4EBF-B467-65A6-6D26-53C1D7B1B023}"/>
            </a:ext>
          </a:extLst>
        </xdr:cNvPr>
        <xdr:cNvSpPr/>
      </xdr:nvSpPr>
      <xdr:spPr>
        <a:xfrm>
          <a:off x="257174" y="1146176"/>
          <a:ext cx="2695576" cy="1266825"/>
        </a:xfrm>
        <a:prstGeom prst="roundRect">
          <a:avLst/>
        </a:prstGeom>
        <a:solidFill>
          <a:srgbClr val="FFFFFF"/>
        </a:solidFill>
        <a:ln>
          <a:solidFill>
            <a:srgbClr val="CBD5E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592136</xdr:colOff>
      <xdr:row>6</xdr:row>
      <xdr:rowOff>28575</xdr:rowOff>
    </xdr:from>
    <xdr:to>
      <xdr:col>9</xdr:col>
      <xdr:colOff>231774</xdr:colOff>
      <xdr:row>13</xdr:row>
      <xdr:rowOff>17462</xdr:rowOff>
    </xdr:to>
    <xdr:sp macro="" textlink="">
      <xdr:nvSpPr>
        <xdr:cNvPr id="7" name="Rectangle: Rounded Corners 6">
          <a:extLst>
            <a:ext uri="{FF2B5EF4-FFF2-40B4-BE49-F238E27FC236}">
              <a16:creationId xmlns:a16="http://schemas.microsoft.com/office/drawing/2014/main" id="{081451C6-10BA-D5AD-568C-2819A28F967C}"/>
            </a:ext>
          </a:extLst>
        </xdr:cNvPr>
        <xdr:cNvSpPr/>
      </xdr:nvSpPr>
      <xdr:spPr>
        <a:xfrm>
          <a:off x="3036886" y="1123950"/>
          <a:ext cx="2695576" cy="1266825"/>
        </a:xfrm>
        <a:prstGeom prst="roundRect">
          <a:avLst/>
        </a:prstGeom>
        <a:solidFill>
          <a:srgbClr val="FFFFFF"/>
        </a:solidFill>
        <a:ln>
          <a:solidFill>
            <a:srgbClr val="CBD5E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331785</xdr:colOff>
      <xdr:row>6</xdr:row>
      <xdr:rowOff>30162</xdr:rowOff>
    </xdr:from>
    <xdr:to>
      <xdr:col>13</xdr:col>
      <xdr:colOff>582611</xdr:colOff>
      <xdr:row>13</xdr:row>
      <xdr:rowOff>19049</xdr:rowOff>
    </xdr:to>
    <xdr:sp macro="" textlink="">
      <xdr:nvSpPr>
        <xdr:cNvPr id="8" name="Rectangle: Rounded Corners 7">
          <a:extLst>
            <a:ext uri="{FF2B5EF4-FFF2-40B4-BE49-F238E27FC236}">
              <a16:creationId xmlns:a16="http://schemas.microsoft.com/office/drawing/2014/main" id="{2103DEE8-64E6-B7CF-B148-B16AAF9EDBED}"/>
            </a:ext>
          </a:extLst>
        </xdr:cNvPr>
        <xdr:cNvSpPr/>
      </xdr:nvSpPr>
      <xdr:spPr>
        <a:xfrm>
          <a:off x="5832473" y="1125537"/>
          <a:ext cx="2695576" cy="1266825"/>
        </a:xfrm>
        <a:prstGeom prst="roundRect">
          <a:avLst/>
        </a:prstGeom>
        <a:solidFill>
          <a:srgbClr val="FFFFFF"/>
        </a:solidFill>
        <a:ln>
          <a:solidFill>
            <a:srgbClr val="CBD5E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oneCellAnchor>
    <xdr:from>
      <xdr:col>0</xdr:col>
      <xdr:colOff>309563</xdr:colOff>
      <xdr:row>6</xdr:row>
      <xdr:rowOff>79375</xdr:rowOff>
    </xdr:from>
    <xdr:ext cx="1819985" cy="311496"/>
    <xdr:sp macro="" textlink="">
      <xdr:nvSpPr>
        <xdr:cNvPr id="9" name="TextBox 8">
          <a:extLst>
            <a:ext uri="{FF2B5EF4-FFF2-40B4-BE49-F238E27FC236}">
              <a16:creationId xmlns:a16="http://schemas.microsoft.com/office/drawing/2014/main" id="{41F003CA-9CC5-3344-5C21-4263C0A0ACC6}"/>
            </a:ext>
          </a:extLst>
        </xdr:cNvPr>
        <xdr:cNvSpPr txBox="1"/>
      </xdr:nvSpPr>
      <xdr:spPr>
        <a:xfrm>
          <a:off x="309563" y="1174750"/>
          <a:ext cx="181998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a:solidFill>
                <a:srgbClr val="334155"/>
              </a:solidFill>
            </a:rPr>
            <a:t>TOTAL REGISTRATION</a:t>
          </a:r>
          <a:endParaRPr lang="en-NG" sz="1400" b="1">
            <a:solidFill>
              <a:srgbClr val="334155"/>
            </a:solidFill>
          </a:endParaRPr>
        </a:p>
      </xdr:txBody>
    </xdr:sp>
    <xdr:clientData/>
  </xdr:oneCellAnchor>
  <xdr:oneCellAnchor>
    <xdr:from>
      <xdr:col>5</xdr:col>
      <xdr:colOff>15875</xdr:colOff>
      <xdr:row>6</xdr:row>
      <xdr:rowOff>103188</xdr:rowOff>
    </xdr:from>
    <xdr:ext cx="1580561" cy="311496"/>
    <xdr:sp macro="" textlink="">
      <xdr:nvSpPr>
        <xdr:cNvPr id="14" name="TextBox 13">
          <a:extLst>
            <a:ext uri="{FF2B5EF4-FFF2-40B4-BE49-F238E27FC236}">
              <a16:creationId xmlns:a16="http://schemas.microsoft.com/office/drawing/2014/main" id="{29940FF8-11CB-4522-9EF5-A3F89494EA4E}"/>
            </a:ext>
          </a:extLst>
        </xdr:cNvPr>
        <xdr:cNvSpPr txBox="1"/>
      </xdr:nvSpPr>
      <xdr:spPr>
        <a:xfrm>
          <a:off x="3071813" y="1198563"/>
          <a:ext cx="158056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a:solidFill>
                <a:srgbClr val="334155"/>
              </a:solidFill>
            </a:rPr>
            <a:t>NUMBER OF MALE</a:t>
          </a:r>
          <a:endParaRPr lang="en-NG" sz="1400" b="1">
            <a:solidFill>
              <a:srgbClr val="334155"/>
            </a:solidFill>
          </a:endParaRPr>
        </a:p>
      </xdr:txBody>
    </xdr:sp>
    <xdr:clientData/>
  </xdr:oneCellAnchor>
  <xdr:oneCellAnchor>
    <xdr:from>
      <xdr:col>6</xdr:col>
      <xdr:colOff>563563</xdr:colOff>
      <xdr:row>8</xdr:row>
      <xdr:rowOff>47626</xdr:rowOff>
    </xdr:from>
    <xdr:ext cx="1425455" cy="593304"/>
    <xdr:sp macro="" textlink="ANALYSIS!B3">
      <xdr:nvSpPr>
        <xdr:cNvPr id="15" name="TextBox 14">
          <a:extLst>
            <a:ext uri="{FF2B5EF4-FFF2-40B4-BE49-F238E27FC236}">
              <a16:creationId xmlns:a16="http://schemas.microsoft.com/office/drawing/2014/main" id="{6E4C899E-56EF-A187-1850-FC4BBBA8929A}"/>
            </a:ext>
          </a:extLst>
        </xdr:cNvPr>
        <xdr:cNvSpPr txBox="1"/>
      </xdr:nvSpPr>
      <xdr:spPr>
        <a:xfrm>
          <a:off x="4230688" y="1508126"/>
          <a:ext cx="1425455"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96CA823-B7AE-4053-A969-CEA75A3DCC0A}" type="TxLink">
            <a:rPr lang="en-US" sz="3200" b="1" i="0" u="none" strike="noStrike">
              <a:solidFill>
                <a:srgbClr val="006D77"/>
              </a:solidFill>
              <a:latin typeface="Calibri"/>
              <a:ea typeface="Calibri"/>
              <a:cs typeface="Calibri"/>
            </a:rPr>
            <a:pPr/>
            <a:t>54.3%</a:t>
          </a:fld>
          <a:endParaRPr lang="en-NG" sz="3200" b="1">
            <a:solidFill>
              <a:srgbClr val="006D77"/>
            </a:solidFill>
          </a:endParaRPr>
        </a:p>
      </xdr:txBody>
    </xdr:sp>
    <xdr:clientData/>
  </xdr:oneCellAnchor>
  <xdr:oneCellAnchor>
    <xdr:from>
      <xdr:col>9</xdr:col>
      <xdr:colOff>341312</xdr:colOff>
      <xdr:row>6</xdr:row>
      <xdr:rowOff>103187</xdr:rowOff>
    </xdr:from>
    <xdr:ext cx="1750544" cy="311496"/>
    <xdr:sp macro="" textlink="">
      <xdr:nvSpPr>
        <xdr:cNvPr id="16" name="TextBox 15">
          <a:extLst>
            <a:ext uri="{FF2B5EF4-FFF2-40B4-BE49-F238E27FC236}">
              <a16:creationId xmlns:a16="http://schemas.microsoft.com/office/drawing/2014/main" id="{8B6CADFA-F92A-198D-FFC7-ADB2055B043E}"/>
            </a:ext>
          </a:extLst>
        </xdr:cNvPr>
        <xdr:cNvSpPr txBox="1"/>
      </xdr:nvSpPr>
      <xdr:spPr>
        <a:xfrm>
          <a:off x="5842000" y="1198562"/>
          <a:ext cx="175054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a:solidFill>
                <a:srgbClr val="334155"/>
              </a:solidFill>
            </a:rPr>
            <a:t>NUMBER OF FEMALE</a:t>
          </a:r>
          <a:endParaRPr lang="en-NG" sz="1400" b="1">
            <a:solidFill>
              <a:srgbClr val="334155"/>
            </a:solidFill>
          </a:endParaRPr>
        </a:p>
      </xdr:txBody>
    </xdr:sp>
    <xdr:clientData/>
  </xdr:oneCellAnchor>
  <xdr:oneCellAnchor>
    <xdr:from>
      <xdr:col>11</xdr:col>
      <xdr:colOff>269875</xdr:colOff>
      <xdr:row>8</xdr:row>
      <xdr:rowOff>71439</xdr:rowOff>
    </xdr:from>
    <xdr:ext cx="1425455" cy="593304"/>
    <xdr:sp macro="" textlink="ANALYSIS!B2">
      <xdr:nvSpPr>
        <xdr:cNvPr id="17" name="TextBox 16">
          <a:extLst>
            <a:ext uri="{FF2B5EF4-FFF2-40B4-BE49-F238E27FC236}">
              <a16:creationId xmlns:a16="http://schemas.microsoft.com/office/drawing/2014/main" id="{FA52E3BC-0928-7A79-6DC6-BFD5280D05BD}"/>
            </a:ext>
          </a:extLst>
        </xdr:cNvPr>
        <xdr:cNvSpPr txBox="1"/>
      </xdr:nvSpPr>
      <xdr:spPr>
        <a:xfrm>
          <a:off x="6992938" y="1531939"/>
          <a:ext cx="1425455"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EFF7A2A-E8C6-4D95-B8DF-0BCC4548AA8B}" type="TxLink">
            <a:rPr lang="en-US" sz="3200" b="1" i="0" u="none" strike="noStrike">
              <a:solidFill>
                <a:srgbClr val="006D77"/>
              </a:solidFill>
              <a:latin typeface="Calibri"/>
              <a:ea typeface="Calibri"/>
              <a:cs typeface="Calibri"/>
            </a:rPr>
            <a:pPr/>
            <a:t>45.7%</a:t>
          </a:fld>
          <a:endParaRPr lang="en-NG" sz="3200" b="1">
            <a:solidFill>
              <a:srgbClr val="006D77"/>
            </a:solidFill>
          </a:endParaRPr>
        </a:p>
      </xdr:txBody>
    </xdr:sp>
    <xdr:clientData/>
  </xdr:oneCellAnchor>
  <xdr:oneCellAnchor>
    <xdr:from>
      <xdr:col>3</xdr:col>
      <xdr:colOff>158750</xdr:colOff>
      <xdr:row>8</xdr:row>
      <xdr:rowOff>38552</xdr:rowOff>
    </xdr:from>
    <xdr:ext cx="600677" cy="593304"/>
    <xdr:sp macro="" textlink="ANALYSIS!$A$11">
      <xdr:nvSpPr>
        <xdr:cNvPr id="18" name="TextBox 17">
          <a:extLst>
            <a:ext uri="{FF2B5EF4-FFF2-40B4-BE49-F238E27FC236}">
              <a16:creationId xmlns:a16="http://schemas.microsoft.com/office/drawing/2014/main" id="{8FF9CC4A-2B5A-24D9-9952-970997F37A97}"/>
            </a:ext>
          </a:extLst>
        </xdr:cNvPr>
        <xdr:cNvSpPr txBox="1"/>
      </xdr:nvSpPr>
      <xdr:spPr>
        <a:xfrm>
          <a:off x="1982107" y="1489981"/>
          <a:ext cx="600677"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80AB34CB-D2E8-4B2E-90E8-C23E575EB761}" type="TxLink">
            <a:rPr lang="en-US" sz="3200" b="1" i="0" u="none" strike="noStrike">
              <a:solidFill>
                <a:srgbClr val="006D77"/>
              </a:solidFill>
              <a:latin typeface="Calibri"/>
              <a:ea typeface="Calibri"/>
              <a:cs typeface="Calibri"/>
            </a:rPr>
            <a:pPr marL="0" indent="0"/>
            <a:t>46</a:t>
          </a:fld>
          <a:endParaRPr lang="en-NG" sz="3200" b="1" i="0" u="none" strike="noStrike">
            <a:solidFill>
              <a:srgbClr val="006D77"/>
            </a:solidFill>
            <a:latin typeface="Calibri"/>
            <a:ea typeface="Calibri"/>
            <a:cs typeface="Calibri"/>
          </a:endParaRPr>
        </a:p>
      </xdr:txBody>
    </xdr:sp>
    <xdr:clientData/>
  </xdr:oneCellAnchor>
  <xdr:twoCellAnchor>
    <xdr:from>
      <xdr:col>0</xdr:col>
      <xdr:colOff>452439</xdr:colOff>
      <xdr:row>15</xdr:row>
      <xdr:rowOff>150812</xdr:rowOff>
    </xdr:from>
    <xdr:to>
      <xdr:col>8</xdr:col>
      <xdr:colOff>150813</xdr:colOff>
      <xdr:row>25</xdr:row>
      <xdr:rowOff>115887</xdr:rowOff>
    </xdr:to>
    <xdr:graphicFrame macro="">
      <xdr:nvGraphicFramePr>
        <xdr:cNvPr id="19" name="Chart 18">
          <a:extLst>
            <a:ext uri="{FF2B5EF4-FFF2-40B4-BE49-F238E27FC236}">
              <a16:creationId xmlns:a16="http://schemas.microsoft.com/office/drawing/2014/main" id="{7DB856B5-E74F-46D0-AE0D-949AF1A4C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452438</xdr:colOff>
      <xdr:row>14</xdr:row>
      <xdr:rowOff>47626</xdr:rowOff>
    </xdr:from>
    <xdr:ext cx="2630528" cy="342786"/>
    <xdr:sp macro="" textlink="">
      <xdr:nvSpPr>
        <xdr:cNvPr id="23" name="TextBox 22">
          <a:extLst>
            <a:ext uri="{FF2B5EF4-FFF2-40B4-BE49-F238E27FC236}">
              <a16:creationId xmlns:a16="http://schemas.microsoft.com/office/drawing/2014/main" id="{E4BC56FF-83FD-0851-C6B7-9CD5AF35A84F}"/>
            </a:ext>
          </a:extLst>
        </xdr:cNvPr>
        <xdr:cNvSpPr txBox="1"/>
      </xdr:nvSpPr>
      <xdr:spPr>
        <a:xfrm>
          <a:off x="452438" y="2603501"/>
          <a:ext cx="263052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a:solidFill>
                <a:srgbClr val="FFE66D"/>
              </a:solidFill>
            </a:rPr>
            <a:t>DAILY REGISTRATION TREND</a:t>
          </a:r>
          <a:endParaRPr lang="en-NG" sz="1600" b="1">
            <a:solidFill>
              <a:srgbClr val="FFE66D"/>
            </a:solidFill>
          </a:endParaRPr>
        </a:p>
      </xdr:txBody>
    </xdr:sp>
    <xdr:clientData/>
  </xdr:oneCellAnchor>
  <xdr:twoCellAnchor>
    <xdr:from>
      <xdr:col>8</xdr:col>
      <xdr:colOff>333373</xdr:colOff>
      <xdr:row>13</xdr:row>
      <xdr:rowOff>111125</xdr:rowOff>
    </xdr:from>
    <xdr:to>
      <xdr:col>15</xdr:col>
      <xdr:colOff>63500</xdr:colOff>
      <xdr:row>26</xdr:row>
      <xdr:rowOff>25401</xdr:rowOff>
    </xdr:to>
    <xdr:sp macro="" textlink="">
      <xdr:nvSpPr>
        <xdr:cNvPr id="24" name="Rectangle: Rounded Corners 23">
          <a:extLst>
            <a:ext uri="{FF2B5EF4-FFF2-40B4-BE49-F238E27FC236}">
              <a16:creationId xmlns:a16="http://schemas.microsoft.com/office/drawing/2014/main" id="{8A6FED62-5DF3-98D9-B2CB-7D452EDB5B8B}"/>
            </a:ext>
          </a:extLst>
        </xdr:cNvPr>
        <xdr:cNvSpPr/>
      </xdr:nvSpPr>
      <xdr:spPr>
        <a:xfrm>
          <a:off x="5222873" y="2484438"/>
          <a:ext cx="4008440" cy="2287588"/>
        </a:xfrm>
        <a:prstGeom prst="roundRect">
          <a:avLst/>
        </a:prstGeom>
        <a:solidFill>
          <a:srgbClr val="A0A0A0"/>
        </a:solidFill>
        <a:ln>
          <a:solidFill>
            <a:srgbClr val="CBD5E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142874</xdr:colOff>
      <xdr:row>13</xdr:row>
      <xdr:rowOff>73025</xdr:rowOff>
    </xdr:from>
    <xdr:to>
      <xdr:col>23</xdr:col>
      <xdr:colOff>353786</xdr:colOff>
      <xdr:row>25</xdr:row>
      <xdr:rowOff>169863</xdr:rowOff>
    </xdr:to>
    <xdr:sp macro="" textlink="">
      <xdr:nvSpPr>
        <xdr:cNvPr id="25" name="Rectangle: Rounded Corners 24">
          <a:extLst>
            <a:ext uri="{FF2B5EF4-FFF2-40B4-BE49-F238E27FC236}">
              <a16:creationId xmlns:a16="http://schemas.microsoft.com/office/drawing/2014/main" id="{17975DC9-3484-2440-19E1-82A8941AF680}"/>
            </a:ext>
          </a:extLst>
        </xdr:cNvPr>
        <xdr:cNvSpPr/>
      </xdr:nvSpPr>
      <xdr:spPr>
        <a:xfrm>
          <a:off x="9259660" y="2431596"/>
          <a:ext cx="5073197" cy="2273981"/>
        </a:xfrm>
        <a:prstGeom prst="roundRect">
          <a:avLst/>
        </a:prstGeom>
        <a:solidFill>
          <a:srgbClr val="A0A0A0"/>
        </a:solidFill>
        <a:ln>
          <a:solidFill>
            <a:srgbClr val="CBD5E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134938</xdr:colOff>
      <xdr:row>14</xdr:row>
      <xdr:rowOff>142875</xdr:rowOff>
    </xdr:from>
    <xdr:to>
      <xdr:col>14</xdr:col>
      <xdr:colOff>531813</xdr:colOff>
      <xdr:row>25</xdr:row>
      <xdr:rowOff>158749</xdr:rowOff>
    </xdr:to>
    <xdr:graphicFrame macro="">
      <xdr:nvGraphicFramePr>
        <xdr:cNvPr id="26" name="Chart 25">
          <a:extLst>
            <a:ext uri="{FF2B5EF4-FFF2-40B4-BE49-F238E27FC236}">
              <a16:creationId xmlns:a16="http://schemas.microsoft.com/office/drawing/2014/main" id="{9EF21A4A-6FA8-4036-B51D-937DE720A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95250</xdr:colOff>
      <xdr:row>13</xdr:row>
      <xdr:rowOff>174625</xdr:rowOff>
    </xdr:from>
    <xdr:ext cx="1023806" cy="342786"/>
    <xdr:sp macro="" textlink="">
      <xdr:nvSpPr>
        <xdr:cNvPr id="27" name="TextBox 26">
          <a:extLst>
            <a:ext uri="{FF2B5EF4-FFF2-40B4-BE49-F238E27FC236}">
              <a16:creationId xmlns:a16="http://schemas.microsoft.com/office/drawing/2014/main" id="{1330A9AD-5DC8-FCD1-028E-8E1D92E49238}"/>
            </a:ext>
          </a:extLst>
        </xdr:cNvPr>
        <xdr:cNvSpPr txBox="1"/>
      </xdr:nvSpPr>
      <xdr:spPr>
        <a:xfrm>
          <a:off x="5595938" y="2547938"/>
          <a:ext cx="102380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a:solidFill>
                <a:srgbClr val="FFE66D"/>
              </a:solidFill>
            </a:rPr>
            <a:t>TIMEBELT</a:t>
          </a:r>
          <a:endParaRPr lang="en-NG" sz="1600" b="1">
            <a:solidFill>
              <a:srgbClr val="FFE66D"/>
            </a:solidFill>
          </a:endParaRPr>
        </a:p>
      </xdr:txBody>
    </xdr:sp>
    <xdr:clientData/>
  </xdr:oneCellAnchor>
  <xdr:twoCellAnchor>
    <xdr:from>
      <xdr:col>15</xdr:col>
      <xdr:colOff>206375</xdr:colOff>
      <xdr:row>15</xdr:row>
      <xdr:rowOff>39686</xdr:rowOff>
    </xdr:from>
    <xdr:to>
      <xdr:col>23</xdr:col>
      <xdr:colOff>244930</xdr:colOff>
      <xdr:row>25</xdr:row>
      <xdr:rowOff>71436</xdr:rowOff>
    </xdr:to>
    <xdr:graphicFrame macro="">
      <xdr:nvGraphicFramePr>
        <xdr:cNvPr id="28" name="Chart 27">
          <a:extLst>
            <a:ext uri="{FF2B5EF4-FFF2-40B4-BE49-F238E27FC236}">
              <a16:creationId xmlns:a16="http://schemas.microsoft.com/office/drawing/2014/main" id="{0FAB862E-6D84-467A-9C79-97BDE04F6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15</xdr:col>
      <xdr:colOff>452437</xdr:colOff>
      <xdr:row>14</xdr:row>
      <xdr:rowOff>15875</xdr:rowOff>
    </xdr:from>
    <xdr:ext cx="1818190" cy="342786"/>
    <xdr:sp macro="" textlink="">
      <xdr:nvSpPr>
        <xdr:cNvPr id="29" name="TextBox 28">
          <a:extLst>
            <a:ext uri="{FF2B5EF4-FFF2-40B4-BE49-F238E27FC236}">
              <a16:creationId xmlns:a16="http://schemas.microsoft.com/office/drawing/2014/main" id="{B0D0C39B-942E-C395-E50E-DF7D6CFE8BBA}"/>
            </a:ext>
          </a:extLst>
        </xdr:cNvPr>
        <xdr:cNvSpPr txBox="1"/>
      </xdr:nvSpPr>
      <xdr:spPr>
        <a:xfrm>
          <a:off x="9620250" y="2571750"/>
          <a:ext cx="181819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a:solidFill>
                <a:srgbClr val="FFE66D"/>
              </a:solidFill>
            </a:rPr>
            <a:t>AGE DISTRIBUTION</a:t>
          </a:r>
          <a:endParaRPr lang="en-NG" sz="1600" b="1">
            <a:solidFill>
              <a:srgbClr val="FFE66D"/>
            </a:solidFill>
          </a:endParaRPr>
        </a:p>
      </xdr:txBody>
    </xdr:sp>
    <xdr:clientData/>
  </xdr:oneCellAnchor>
  <xdr:twoCellAnchor>
    <xdr:from>
      <xdr:col>0</xdr:col>
      <xdr:colOff>230186</xdr:colOff>
      <xdr:row>26</xdr:row>
      <xdr:rowOff>150813</xdr:rowOff>
    </xdr:from>
    <xdr:to>
      <xdr:col>8</xdr:col>
      <xdr:colOff>263526</xdr:colOff>
      <xdr:row>39</xdr:row>
      <xdr:rowOff>65088</xdr:rowOff>
    </xdr:to>
    <xdr:sp macro="" textlink="">
      <xdr:nvSpPr>
        <xdr:cNvPr id="30" name="Rectangle: Rounded Corners 29">
          <a:extLst>
            <a:ext uri="{FF2B5EF4-FFF2-40B4-BE49-F238E27FC236}">
              <a16:creationId xmlns:a16="http://schemas.microsoft.com/office/drawing/2014/main" id="{3A0CE995-BF84-F2B5-DC99-94A0D8F7DCD4}"/>
            </a:ext>
          </a:extLst>
        </xdr:cNvPr>
        <xdr:cNvSpPr/>
      </xdr:nvSpPr>
      <xdr:spPr>
        <a:xfrm>
          <a:off x="230186" y="4897438"/>
          <a:ext cx="4922840" cy="2287588"/>
        </a:xfrm>
        <a:prstGeom prst="roundRect">
          <a:avLst/>
        </a:prstGeom>
        <a:solidFill>
          <a:srgbClr val="1E1E2F"/>
        </a:solidFill>
        <a:ln>
          <a:solidFill>
            <a:srgbClr val="CBD5E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358774</xdr:colOff>
      <xdr:row>26</xdr:row>
      <xdr:rowOff>104776</xdr:rowOff>
    </xdr:from>
    <xdr:to>
      <xdr:col>16</xdr:col>
      <xdr:colOff>392114</xdr:colOff>
      <xdr:row>39</xdr:row>
      <xdr:rowOff>19051</xdr:rowOff>
    </xdr:to>
    <xdr:sp macro="" textlink="">
      <xdr:nvSpPr>
        <xdr:cNvPr id="31" name="Rectangle: Rounded Corners 30">
          <a:extLst>
            <a:ext uri="{FF2B5EF4-FFF2-40B4-BE49-F238E27FC236}">
              <a16:creationId xmlns:a16="http://schemas.microsoft.com/office/drawing/2014/main" id="{0709D8B9-6E19-D72B-4629-21F093294F2D}"/>
            </a:ext>
          </a:extLst>
        </xdr:cNvPr>
        <xdr:cNvSpPr/>
      </xdr:nvSpPr>
      <xdr:spPr>
        <a:xfrm>
          <a:off x="5248274" y="4851401"/>
          <a:ext cx="4922840" cy="2287588"/>
        </a:xfrm>
        <a:prstGeom prst="roundRect">
          <a:avLst/>
        </a:prstGeom>
        <a:solidFill>
          <a:srgbClr val="1E1E2F"/>
        </a:solidFill>
        <a:ln>
          <a:solidFill>
            <a:srgbClr val="CBD5E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477834</xdr:colOff>
      <xdr:row>26</xdr:row>
      <xdr:rowOff>65088</xdr:rowOff>
    </xdr:from>
    <xdr:to>
      <xdr:col>23</xdr:col>
      <xdr:colOff>357186</xdr:colOff>
      <xdr:row>38</xdr:row>
      <xdr:rowOff>161926</xdr:rowOff>
    </xdr:to>
    <xdr:sp macro="" textlink="">
      <xdr:nvSpPr>
        <xdr:cNvPr id="32" name="Rectangle: Rounded Corners 31">
          <a:extLst>
            <a:ext uri="{FF2B5EF4-FFF2-40B4-BE49-F238E27FC236}">
              <a16:creationId xmlns:a16="http://schemas.microsoft.com/office/drawing/2014/main" id="{C4562543-84F8-7F9C-B2B9-741127F28E36}"/>
            </a:ext>
          </a:extLst>
        </xdr:cNvPr>
        <xdr:cNvSpPr/>
      </xdr:nvSpPr>
      <xdr:spPr>
        <a:xfrm>
          <a:off x="10256834" y="4811713"/>
          <a:ext cx="4157665" cy="2287588"/>
        </a:xfrm>
        <a:prstGeom prst="roundRect">
          <a:avLst/>
        </a:prstGeom>
        <a:solidFill>
          <a:srgbClr val="1E1E2F"/>
        </a:solidFill>
        <a:ln>
          <a:solidFill>
            <a:srgbClr val="CBD5E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325438</xdr:colOff>
      <xdr:row>28</xdr:row>
      <xdr:rowOff>127000</xdr:rowOff>
    </xdr:from>
    <xdr:to>
      <xdr:col>8</xdr:col>
      <xdr:colOff>158751</xdr:colOff>
      <xdr:row>39</xdr:row>
      <xdr:rowOff>55561</xdr:rowOff>
    </xdr:to>
    <xdr:graphicFrame macro="">
      <xdr:nvGraphicFramePr>
        <xdr:cNvPr id="33" name="Chart 32">
          <a:extLst>
            <a:ext uri="{FF2B5EF4-FFF2-40B4-BE49-F238E27FC236}">
              <a16:creationId xmlns:a16="http://schemas.microsoft.com/office/drawing/2014/main" id="{0D1C9532-06A8-4CB0-A1BC-593906522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404813</xdr:colOff>
      <xdr:row>27</xdr:row>
      <xdr:rowOff>95250</xdr:rowOff>
    </xdr:from>
    <xdr:ext cx="2821222" cy="342786"/>
    <xdr:sp macro="" textlink="">
      <xdr:nvSpPr>
        <xdr:cNvPr id="34" name="TextBox 33">
          <a:extLst>
            <a:ext uri="{FF2B5EF4-FFF2-40B4-BE49-F238E27FC236}">
              <a16:creationId xmlns:a16="http://schemas.microsoft.com/office/drawing/2014/main" id="{43A5C1B8-DA30-BCFD-C960-D022A64FDE75}"/>
            </a:ext>
          </a:extLst>
        </xdr:cNvPr>
        <xdr:cNvSpPr txBox="1"/>
      </xdr:nvSpPr>
      <xdr:spPr>
        <a:xfrm>
          <a:off x="404813" y="5024438"/>
          <a:ext cx="282122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a:solidFill>
                <a:srgbClr val="FFE66D"/>
              </a:solidFill>
            </a:rPr>
            <a:t>HIGHEST LEVEL OF EDUCATION</a:t>
          </a:r>
          <a:endParaRPr lang="en-NG" sz="1600" b="1">
            <a:solidFill>
              <a:srgbClr val="FFE66D"/>
            </a:solidFill>
          </a:endParaRPr>
        </a:p>
      </xdr:txBody>
    </xdr:sp>
    <xdr:clientData/>
  </xdr:oneCellAnchor>
  <xdr:twoCellAnchor>
    <xdr:from>
      <xdr:col>8</xdr:col>
      <xdr:colOff>539750</xdr:colOff>
      <xdr:row>28</xdr:row>
      <xdr:rowOff>150813</xdr:rowOff>
    </xdr:from>
    <xdr:to>
      <xdr:col>16</xdr:col>
      <xdr:colOff>309563</xdr:colOff>
      <xdr:row>38</xdr:row>
      <xdr:rowOff>158749</xdr:rowOff>
    </xdr:to>
    <xdr:graphicFrame macro="">
      <xdr:nvGraphicFramePr>
        <xdr:cNvPr id="35" name="Chart 34">
          <a:extLst>
            <a:ext uri="{FF2B5EF4-FFF2-40B4-BE49-F238E27FC236}">
              <a16:creationId xmlns:a16="http://schemas.microsoft.com/office/drawing/2014/main" id="{5B30A6CE-269C-424E-B36A-48547E26D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532263</xdr:colOff>
      <xdr:row>28</xdr:row>
      <xdr:rowOff>90713</xdr:rowOff>
    </xdr:from>
    <xdr:to>
      <xdr:col>23</xdr:col>
      <xdr:colOff>199572</xdr:colOff>
      <xdr:row>38</xdr:row>
      <xdr:rowOff>72570</xdr:rowOff>
    </xdr:to>
    <xdr:graphicFrame macro="">
      <xdr:nvGraphicFramePr>
        <xdr:cNvPr id="36" name="Chart 35">
          <a:extLst>
            <a:ext uri="{FF2B5EF4-FFF2-40B4-BE49-F238E27FC236}">
              <a16:creationId xmlns:a16="http://schemas.microsoft.com/office/drawing/2014/main" id="{C2CA6B7A-9F1D-4576-94E1-16A21828E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9</xdr:col>
      <xdr:colOff>36286</xdr:colOff>
      <xdr:row>27</xdr:row>
      <xdr:rowOff>63500</xdr:rowOff>
    </xdr:from>
    <xdr:ext cx="3459024" cy="342786"/>
    <xdr:sp macro="" textlink="">
      <xdr:nvSpPr>
        <xdr:cNvPr id="37" name="TextBox 36">
          <a:extLst>
            <a:ext uri="{FF2B5EF4-FFF2-40B4-BE49-F238E27FC236}">
              <a16:creationId xmlns:a16="http://schemas.microsoft.com/office/drawing/2014/main" id="{10FD0973-A644-DFB5-5002-8A108E95EEC0}"/>
            </a:ext>
          </a:extLst>
        </xdr:cNvPr>
        <xdr:cNvSpPr txBox="1"/>
      </xdr:nvSpPr>
      <xdr:spPr>
        <a:xfrm>
          <a:off x="5506357" y="4962071"/>
          <a:ext cx="345902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a:solidFill>
                <a:srgbClr val="FFE66D"/>
              </a:solidFill>
            </a:rPr>
            <a:t>WHY</a:t>
          </a:r>
          <a:r>
            <a:rPr lang="en-GB" sz="1600" b="1" baseline="0">
              <a:solidFill>
                <a:srgbClr val="FFE66D"/>
              </a:solidFill>
            </a:rPr>
            <a:t> DID YOU REGISTER FOR ASAP 2.0</a:t>
          </a:r>
          <a:endParaRPr lang="en-NG" sz="1600" b="1">
            <a:solidFill>
              <a:srgbClr val="FFE66D"/>
            </a:solidFill>
          </a:endParaRPr>
        </a:p>
      </xdr:txBody>
    </xdr:sp>
    <xdr:clientData/>
  </xdr:oneCellAnchor>
  <xdr:oneCellAnchor>
    <xdr:from>
      <xdr:col>17</xdr:col>
      <xdr:colOff>81644</xdr:colOff>
      <xdr:row>26</xdr:row>
      <xdr:rowOff>154214</xdr:rowOff>
    </xdr:from>
    <xdr:ext cx="3505511" cy="342786"/>
    <xdr:sp macro="" textlink="">
      <xdr:nvSpPr>
        <xdr:cNvPr id="38" name="TextBox 37">
          <a:extLst>
            <a:ext uri="{FF2B5EF4-FFF2-40B4-BE49-F238E27FC236}">
              <a16:creationId xmlns:a16="http://schemas.microsoft.com/office/drawing/2014/main" id="{969628AF-8E3C-15E6-61F8-1395A32DBE27}"/>
            </a:ext>
          </a:extLst>
        </xdr:cNvPr>
        <xdr:cNvSpPr txBox="1"/>
      </xdr:nvSpPr>
      <xdr:spPr>
        <a:xfrm>
          <a:off x="10414001" y="4871357"/>
          <a:ext cx="350551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a:solidFill>
                <a:srgbClr val="FFE66D"/>
              </a:solidFill>
            </a:rPr>
            <a:t>HOW DID YOU HEAR ABOUT ASAP 2.0?</a:t>
          </a:r>
          <a:endParaRPr lang="en-NG" sz="1600" b="1">
            <a:solidFill>
              <a:srgbClr val="FFE66D"/>
            </a:solidFill>
          </a:endParaRPr>
        </a:p>
      </xdr:txBody>
    </xdr:sp>
    <xdr:clientData/>
  </xdr:oneCellAnchor>
  <xdr:twoCellAnchor editAs="oneCell">
    <xdr:from>
      <xdr:col>14</xdr:col>
      <xdr:colOff>208642</xdr:colOff>
      <xdr:row>6</xdr:row>
      <xdr:rowOff>127001</xdr:rowOff>
    </xdr:from>
    <xdr:to>
      <xdr:col>17</xdr:col>
      <xdr:colOff>55562</xdr:colOff>
      <xdr:row>12</xdr:row>
      <xdr:rowOff>63500</xdr:rowOff>
    </xdr:to>
    <mc:AlternateContent xmlns:mc="http://schemas.openxmlformats.org/markup-compatibility/2006" xmlns:a14="http://schemas.microsoft.com/office/drawing/2010/main">
      <mc:Choice Requires="a14">
        <xdr:graphicFrame macro="">
          <xdr:nvGraphicFramePr>
            <xdr:cNvPr id="39" name="Time of the Day">
              <a:extLst>
                <a:ext uri="{FF2B5EF4-FFF2-40B4-BE49-F238E27FC236}">
                  <a16:creationId xmlns:a16="http://schemas.microsoft.com/office/drawing/2014/main" id="{39217B43-18FC-4C69-A91B-3516B325EF2A}"/>
                </a:ext>
              </a:extLst>
            </xdr:cNvPr>
            <xdr:cNvGraphicFramePr/>
          </xdr:nvGraphicFramePr>
          <xdr:xfrm>
            <a:off x="0" y="0"/>
            <a:ext cx="0" cy="0"/>
          </xdr:xfrm>
          <a:graphic>
            <a:graphicData uri="http://schemas.microsoft.com/office/drawing/2010/slicer">
              <sle:slicer xmlns:sle="http://schemas.microsoft.com/office/drawing/2010/slicer" name="Time of the Day"/>
            </a:graphicData>
          </a:graphic>
        </xdr:graphicFrame>
      </mc:Choice>
      <mc:Fallback xmlns="">
        <xdr:sp macro="" textlink="">
          <xdr:nvSpPr>
            <xdr:cNvPr id="0" name=""/>
            <xdr:cNvSpPr>
              <a:spLocks noTextEdit="1"/>
            </xdr:cNvSpPr>
          </xdr:nvSpPr>
          <xdr:spPr>
            <a:xfrm>
              <a:off x="8717642" y="1215572"/>
              <a:ext cx="1670277" cy="102507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16</xdr:col>
      <xdr:colOff>563564</xdr:colOff>
      <xdr:row>6</xdr:row>
      <xdr:rowOff>137205</xdr:rowOff>
    </xdr:from>
    <xdr:to>
      <xdr:col>18</xdr:col>
      <xdr:colOff>555625</xdr:colOff>
      <xdr:row>12</xdr:row>
      <xdr:rowOff>58283</xdr:rowOff>
    </xdr:to>
    <mc:AlternateContent xmlns:mc="http://schemas.openxmlformats.org/markup-compatibility/2006" xmlns:a14="http://schemas.microsoft.com/office/drawing/2010/main">
      <mc:Choice Requires="a14">
        <xdr:graphicFrame macro="">
          <xdr:nvGraphicFramePr>
            <xdr:cNvPr id="41" name="Gender">
              <a:extLst>
                <a:ext uri="{FF2B5EF4-FFF2-40B4-BE49-F238E27FC236}">
                  <a16:creationId xmlns:a16="http://schemas.microsoft.com/office/drawing/2014/main" id="{006FFF05-42F1-424C-8425-EE68220F3A8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288135" y="1225776"/>
              <a:ext cx="1207633" cy="10096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22</xdr:col>
      <xdr:colOff>81643</xdr:colOff>
      <xdr:row>6</xdr:row>
      <xdr:rowOff>100657</xdr:rowOff>
    </xdr:from>
    <xdr:to>
      <xdr:col>23</xdr:col>
      <xdr:colOff>190501</xdr:colOff>
      <xdr:row>11</xdr:row>
      <xdr:rowOff>175581</xdr:rowOff>
    </xdr:to>
    <xdr:pic>
      <xdr:nvPicPr>
        <xdr:cNvPr id="43" name="Picture 42">
          <a:extLst>
            <a:ext uri="{FF2B5EF4-FFF2-40B4-BE49-F238E27FC236}">
              <a16:creationId xmlns:a16="http://schemas.microsoft.com/office/drawing/2014/main" id="{2A570A08-53A9-0E30-D3D2-45209D86698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452929" y="1189228"/>
          <a:ext cx="716643" cy="982067"/>
        </a:xfrm>
        <a:prstGeom prst="rect">
          <a:avLst/>
        </a:prstGeom>
      </xdr:spPr>
    </xdr:pic>
    <xdr:clientData/>
  </xdr:twoCellAnchor>
  <xdr:twoCellAnchor editAs="oneCell">
    <xdr:from>
      <xdr:col>21</xdr:col>
      <xdr:colOff>18143</xdr:colOff>
      <xdr:row>7</xdr:row>
      <xdr:rowOff>38708</xdr:rowOff>
    </xdr:from>
    <xdr:to>
      <xdr:col>21</xdr:col>
      <xdr:colOff>390071</xdr:colOff>
      <xdr:row>9</xdr:row>
      <xdr:rowOff>55992</xdr:rowOff>
    </xdr:to>
    <xdr:pic>
      <xdr:nvPicPr>
        <xdr:cNvPr id="45" name="Picture 44">
          <a:hlinkClick xmlns:r="http://schemas.openxmlformats.org/officeDocument/2006/relationships" r:id="rId8"/>
          <a:extLst>
            <a:ext uri="{FF2B5EF4-FFF2-40B4-BE49-F238E27FC236}">
              <a16:creationId xmlns:a16="http://schemas.microsoft.com/office/drawing/2014/main" id="{991E3159-50C1-4356-E20F-CD07EC618F5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V="1">
          <a:off x="12781643" y="1308708"/>
          <a:ext cx="371928" cy="380141"/>
        </a:xfrm>
        <a:prstGeom prst="rect">
          <a:avLst/>
        </a:prstGeom>
      </xdr:spPr>
    </xdr:pic>
    <xdr:clientData/>
  </xdr:twoCellAnchor>
  <xdr:twoCellAnchor editAs="oneCell">
    <xdr:from>
      <xdr:col>20</xdr:col>
      <xdr:colOff>589642</xdr:colOff>
      <xdr:row>9</xdr:row>
      <xdr:rowOff>136071</xdr:rowOff>
    </xdr:from>
    <xdr:to>
      <xdr:col>21</xdr:col>
      <xdr:colOff>480921</xdr:colOff>
      <xdr:row>12</xdr:row>
      <xdr:rowOff>54608</xdr:rowOff>
    </xdr:to>
    <xdr:pic>
      <xdr:nvPicPr>
        <xdr:cNvPr id="47" name="Picture 46">
          <a:hlinkClick xmlns:r="http://schemas.openxmlformats.org/officeDocument/2006/relationships" r:id="rId10"/>
          <a:extLst>
            <a:ext uri="{FF2B5EF4-FFF2-40B4-BE49-F238E27FC236}">
              <a16:creationId xmlns:a16="http://schemas.microsoft.com/office/drawing/2014/main" id="{EFEA29CD-BC18-E719-B2E5-B230B43593C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745356" y="1768928"/>
          <a:ext cx="499065" cy="462823"/>
        </a:xfrm>
        <a:prstGeom prst="rect">
          <a:avLst/>
        </a:prstGeom>
      </xdr:spPr>
    </xdr:pic>
    <xdr:clientData/>
  </xdr:twoCellAnchor>
  <xdr:twoCellAnchor editAs="oneCell">
    <xdr:from>
      <xdr:col>5</xdr:col>
      <xdr:colOff>154213</xdr:colOff>
      <xdr:row>8</xdr:row>
      <xdr:rowOff>72571</xdr:rowOff>
    </xdr:from>
    <xdr:to>
      <xdr:col>6</xdr:col>
      <xdr:colOff>248641</xdr:colOff>
      <xdr:row>12</xdr:row>
      <xdr:rowOff>49070</xdr:rowOff>
    </xdr:to>
    <xdr:pic>
      <xdr:nvPicPr>
        <xdr:cNvPr id="49" name="Picture 48">
          <a:extLst>
            <a:ext uri="{FF2B5EF4-FFF2-40B4-BE49-F238E27FC236}">
              <a16:creationId xmlns:a16="http://schemas.microsoft.com/office/drawing/2014/main" id="{B4F183E4-4C2D-B5B7-F58D-1C989B5E9F9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193142" y="1524000"/>
          <a:ext cx="702213" cy="702213"/>
        </a:xfrm>
        <a:prstGeom prst="rect">
          <a:avLst/>
        </a:prstGeom>
      </xdr:spPr>
    </xdr:pic>
    <xdr:clientData/>
  </xdr:twoCellAnchor>
  <xdr:twoCellAnchor editAs="oneCell">
    <xdr:from>
      <xdr:col>9</xdr:col>
      <xdr:colOff>509407</xdr:colOff>
      <xdr:row>8</xdr:row>
      <xdr:rowOff>145142</xdr:rowOff>
    </xdr:from>
    <xdr:to>
      <xdr:col>11</xdr:col>
      <xdr:colOff>73978</xdr:colOff>
      <xdr:row>12</xdr:row>
      <xdr:rowOff>54428</xdr:rowOff>
    </xdr:to>
    <xdr:pic>
      <xdr:nvPicPr>
        <xdr:cNvPr id="51" name="Picture 50">
          <a:extLst>
            <a:ext uri="{FF2B5EF4-FFF2-40B4-BE49-F238E27FC236}">
              <a16:creationId xmlns:a16="http://schemas.microsoft.com/office/drawing/2014/main" id="{4F27C119-1841-7CC3-4FF9-849478DD9E0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979478" y="1596571"/>
          <a:ext cx="780143" cy="635000"/>
        </a:xfrm>
        <a:prstGeom prst="rect">
          <a:avLst/>
        </a:prstGeom>
      </xdr:spPr>
    </xdr:pic>
    <xdr:clientData/>
  </xdr:twoCellAnchor>
  <xdr:twoCellAnchor editAs="oneCell">
    <xdr:from>
      <xdr:col>0</xdr:col>
      <xdr:colOff>589644</xdr:colOff>
      <xdr:row>9</xdr:row>
      <xdr:rowOff>170543</xdr:rowOff>
    </xdr:from>
    <xdr:to>
      <xdr:col>1</xdr:col>
      <xdr:colOff>425950</xdr:colOff>
      <xdr:row>12</xdr:row>
      <xdr:rowOff>70349</xdr:rowOff>
    </xdr:to>
    <xdr:pic>
      <xdr:nvPicPr>
        <xdr:cNvPr id="52" name="Picture 51">
          <a:extLst>
            <a:ext uri="{FF2B5EF4-FFF2-40B4-BE49-F238E27FC236}">
              <a16:creationId xmlns:a16="http://schemas.microsoft.com/office/drawing/2014/main" id="{8C065ABF-8DB2-B47F-A3E6-433D8A27201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89644" y="1803400"/>
          <a:ext cx="444092" cy="444092"/>
        </a:xfrm>
        <a:prstGeom prst="rect">
          <a:avLst/>
        </a:prstGeom>
      </xdr:spPr>
    </xdr:pic>
    <xdr:clientData/>
  </xdr:twoCellAnchor>
  <xdr:twoCellAnchor editAs="oneCell">
    <xdr:from>
      <xdr:col>1</xdr:col>
      <xdr:colOff>408296</xdr:colOff>
      <xdr:row>9</xdr:row>
      <xdr:rowOff>170543</xdr:rowOff>
    </xdr:from>
    <xdr:to>
      <xdr:col>2</xdr:col>
      <xdr:colOff>246825</xdr:colOff>
      <xdr:row>12</xdr:row>
      <xdr:rowOff>72571</xdr:rowOff>
    </xdr:to>
    <xdr:pic>
      <xdr:nvPicPr>
        <xdr:cNvPr id="53" name="Picture 52">
          <a:extLst>
            <a:ext uri="{FF2B5EF4-FFF2-40B4-BE49-F238E27FC236}">
              <a16:creationId xmlns:a16="http://schemas.microsoft.com/office/drawing/2014/main" id="{DEFEA19E-F0EE-7BD9-08C2-6F278002BC3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16082" y="1803400"/>
          <a:ext cx="446314" cy="446314"/>
        </a:xfrm>
        <a:prstGeom prst="rect">
          <a:avLst/>
        </a:prstGeom>
      </xdr:spPr>
    </xdr:pic>
    <xdr:clientData/>
  </xdr:twoCellAnchor>
  <xdr:twoCellAnchor editAs="oneCell">
    <xdr:from>
      <xdr:col>18</xdr:col>
      <xdr:colOff>467176</xdr:colOff>
      <xdr:row>6</xdr:row>
      <xdr:rowOff>111125</xdr:rowOff>
    </xdr:from>
    <xdr:to>
      <xdr:col>20</xdr:col>
      <xdr:colOff>500063</xdr:colOff>
      <xdr:row>11</xdr:row>
      <xdr:rowOff>174625</xdr:rowOff>
    </xdr:to>
    <mc:AlternateContent xmlns:mc="http://schemas.openxmlformats.org/markup-compatibility/2006" xmlns:a14="http://schemas.microsoft.com/office/drawing/2010/main">
      <mc:Choice Requires="a14">
        <xdr:graphicFrame macro="">
          <xdr:nvGraphicFramePr>
            <xdr:cNvPr id="2" name="Day">
              <a:extLst>
                <a:ext uri="{FF2B5EF4-FFF2-40B4-BE49-F238E27FC236}">
                  <a16:creationId xmlns:a16="http://schemas.microsoft.com/office/drawing/2014/main" id="{7B0B4CF7-6C00-4F80-8432-F116A92BE7D6}"/>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1407319" y="1199696"/>
              <a:ext cx="1248458" cy="97064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iphardey" refreshedDate="45975.711767361114" createdVersion="8" refreshedVersion="8" minRefreshableVersion="3" recordCount="46" xr:uid="{E5DD5854-DBA8-4501-9C2B-FDE4AF8D93E8}">
  <cacheSource type="worksheet">
    <worksheetSource name="ASAP"/>
  </cacheSource>
  <cacheFields count="13">
    <cacheField name="Timestamp" numFmtId="164">
      <sharedItems containsSemiMixedTypes="0" containsNonDate="0" containsDate="1" containsString="0" minDate="2025-10-19T11:23:21" maxDate="2025-10-23T09:31:37"/>
    </cacheField>
    <cacheField name="Day" numFmtId="164">
      <sharedItems count="4">
        <s v="SUN"/>
        <s v="MON"/>
        <s v="TUE"/>
        <s v="THU"/>
      </sharedItems>
    </cacheField>
    <cacheField name="Month" numFmtId="164">
      <sharedItems/>
    </cacheField>
    <cacheField name="Time" numFmtId="165">
      <sharedItems containsSemiMixedTypes="0" containsNonDate="0" containsDate="1" containsString="0" minDate="2025-10-19T11:23:21" maxDate="2025-10-23T09:31:37"/>
    </cacheField>
    <cacheField name="Time of the Day" numFmtId="165">
      <sharedItems count="2">
        <s v="AM"/>
        <s v="PM"/>
      </sharedItems>
    </cacheField>
    <cacheField name="Gender" numFmtId="0">
      <sharedItems count="2">
        <s v="Male"/>
        <s v="Female"/>
      </sharedItems>
    </cacheField>
    <cacheField name="Age Group" numFmtId="0">
      <sharedItems count="4">
        <s v="25 - 34 Years"/>
        <s v="35 - 44 Years"/>
        <s v="18 - 24 Years"/>
        <s v="Under 18 Years"/>
      </sharedItems>
    </cacheField>
    <cacheField name="Highest Level of Education" numFmtId="0">
      <sharedItems count="5">
        <s v="HND/Bachelor's degree"/>
        <s v="OND/NCE"/>
        <s v="Postgraduate"/>
        <s v="Other"/>
        <s v="Secondary"/>
      </sharedItems>
    </cacheField>
    <cacheField name="Reason" numFmtId="0">
      <sharedItems count="7">
        <s v="Learn"/>
        <s v="Upskill"/>
        <s v="More Knowledge"/>
        <s v="Explore"/>
        <s v="N/A"/>
        <s v="Self development"/>
        <s v=" Learn" u="1"/>
      </sharedItems>
    </cacheField>
    <cacheField name="Attend ASAP 1.0" numFmtId="0">
      <sharedItems/>
    </cacheField>
    <cacheField name="Payment Notice" numFmtId="0">
      <sharedItems/>
    </cacheField>
    <cacheField name="Means of Information" numFmtId="0">
      <sharedItems count="4">
        <s v="Church"/>
        <s v="Social Media"/>
        <s v="Friend/Family"/>
        <s v="Flyer"/>
      </sharedItems>
    </cacheField>
    <cacheField name="Commitment" numFmtId="0">
      <sharedItems/>
    </cacheField>
  </cacheFields>
  <extLst>
    <ext xmlns:x14="http://schemas.microsoft.com/office/spreadsheetml/2009/9/main" uri="{725AE2AE-9491-48be-B2B4-4EB974FC3084}">
      <x14:pivotCacheDefinition pivotCacheId="976347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d v="2025-10-19T11:23:21"/>
    <x v="0"/>
    <s v="OCT"/>
    <d v="2025-10-19T11:23:21"/>
    <x v="0"/>
    <x v="0"/>
    <x v="0"/>
    <x v="0"/>
    <x v="0"/>
    <s v="No"/>
    <s v="Yes"/>
    <x v="0"/>
    <s v="Yes"/>
  </r>
  <r>
    <d v="2025-10-19T11:24:25"/>
    <x v="0"/>
    <s v="OCT"/>
    <d v="2025-10-19T11:24:25"/>
    <x v="0"/>
    <x v="0"/>
    <x v="0"/>
    <x v="0"/>
    <x v="1"/>
    <s v="Yes"/>
    <s v="Yes"/>
    <x v="0"/>
    <s v="Yes"/>
  </r>
  <r>
    <d v="2025-10-19T11:25:41"/>
    <x v="0"/>
    <s v="OCT"/>
    <d v="2025-10-19T11:25:41"/>
    <x v="0"/>
    <x v="0"/>
    <x v="0"/>
    <x v="0"/>
    <x v="1"/>
    <s v="Yes"/>
    <s v="Yes"/>
    <x v="0"/>
    <s v="Yes"/>
  </r>
  <r>
    <d v="2025-10-19T11:25:57"/>
    <x v="0"/>
    <s v="OCT"/>
    <d v="2025-10-19T11:25:57"/>
    <x v="0"/>
    <x v="0"/>
    <x v="1"/>
    <x v="1"/>
    <x v="0"/>
    <s v="Yes"/>
    <s v="Yes"/>
    <x v="0"/>
    <s v="Yes"/>
  </r>
  <r>
    <d v="2025-10-19T11:26:48"/>
    <x v="0"/>
    <s v="OCT"/>
    <d v="2025-10-19T11:26:48"/>
    <x v="0"/>
    <x v="1"/>
    <x v="2"/>
    <x v="0"/>
    <x v="2"/>
    <s v="No"/>
    <s v="No"/>
    <x v="0"/>
    <s v="Yes"/>
  </r>
  <r>
    <d v="2025-10-19T11:26:53"/>
    <x v="0"/>
    <s v="OCT"/>
    <d v="2025-10-19T11:26:53"/>
    <x v="0"/>
    <x v="0"/>
    <x v="0"/>
    <x v="2"/>
    <x v="1"/>
    <s v="No"/>
    <s v="Yes"/>
    <x v="0"/>
    <s v="Yes"/>
  </r>
  <r>
    <d v="2025-10-19T11:27:08"/>
    <x v="0"/>
    <s v="OCT"/>
    <d v="2025-10-19T11:27:08"/>
    <x v="0"/>
    <x v="0"/>
    <x v="0"/>
    <x v="0"/>
    <x v="2"/>
    <s v="Yes"/>
    <s v="Yes"/>
    <x v="0"/>
    <s v="Yes"/>
  </r>
  <r>
    <d v="2025-10-19T11:27:34"/>
    <x v="0"/>
    <s v="OCT"/>
    <d v="2025-10-19T11:27:34"/>
    <x v="0"/>
    <x v="0"/>
    <x v="0"/>
    <x v="0"/>
    <x v="1"/>
    <s v="Yes"/>
    <s v="Yes"/>
    <x v="0"/>
    <s v="Yes"/>
  </r>
  <r>
    <d v="2025-10-19T11:27:48"/>
    <x v="0"/>
    <s v="OCT"/>
    <d v="2025-10-19T11:27:48"/>
    <x v="0"/>
    <x v="1"/>
    <x v="0"/>
    <x v="0"/>
    <x v="2"/>
    <s v="No"/>
    <s v="Yes"/>
    <x v="0"/>
    <s v="Yes"/>
  </r>
  <r>
    <d v="2025-10-19T11:28:11"/>
    <x v="0"/>
    <s v="OCT"/>
    <d v="2025-10-19T11:28:11"/>
    <x v="0"/>
    <x v="1"/>
    <x v="0"/>
    <x v="0"/>
    <x v="1"/>
    <s v="Yes"/>
    <s v="Yes"/>
    <x v="0"/>
    <s v="Yes"/>
  </r>
  <r>
    <d v="2025-10-19T11:31:33"/>
    <x v="0"/>
    <s v="OCT"/>
    <d v="2025-10-19T11:31:33"/>
    <x v="0"/>
    <x v="1"/>
    <x v="0"/>
    <x v="0"/>
    <x v="2"/>
    <s v="No"/>
    <s v="No"/>
    <x v="0"/>
    <s v="Yes"/>
  </r>
  <r>
    <d v="2025-10-19T11:32:01"/>
    <x v="0"/>
    <s v="OCT"/>
    <d v="2025-10-19T11:32:01"/>
    <x v="0"/>
    <x v="0"/>
    <x v="2"/>
    <x v="3"/>
    <x v="1"/>
    <s v="No"/>
    <s v="Yes"/>
    <x v="0"/>
    <s v="Yes"/>
  </r>
  <r>
    <d v="2025-10-19T11:33:06"/>
    <x v="0"/>
    <s v="OCT"/>
    <d v="2025-10-19T11:33:06"/>
    <x v="0"/>
    <x v="1"/>
    <x v="0"/>
    <x v="0"/>
    <x v="1"/>
    <s v="No"/>
    <s v="Yes"/>
    <x v="0"/>
    <s v="Yes"/>
  </r>
  <r>
    <d v="2025-10-19T11:35:45"/>
    <x v="0"/>
    <s v="OCT"/>
    <d v="2025-10-19T11:35:45"/>
    <x v="0"/>
    <x v="0"/>
    <x v="0"/>
    <x v="0"/>
    <x v="2"/>
    <s v="No"/>
    <s v="Yes"/>
    <x v="0"/>
    <s v="Yes"/>
  </r>
  <r>
    <d v="2025-10-19T11:48:39"/>
    <x v="0"/>
    <s v="OCT"/>
    <d v="2025-10-19T11:48:39"/>
    <x v="0"/>
    <x v="1"/>
    <x v="0"/>
    <x v="0"/>
    <x v="3"/>
    <s v="No"/>
    <s v="Yes"/>
    <x v="0"/>
    <s v="Yes"/>
  </r>
  <r>
    <d v="2025-10-19T11:52:14"/>
    <x v="0"/>
    <s v="OCT"/>
    <d v="2025-10-19T11:52:14"/>
    <x v="0"/>
    <x v="1"/>
    <x v="0"/>
    <x v="0"/>
    <x v="0"/>
    <s v="Yes"/>
    <s v="Yes"/>
    <x v="0"/>
    <s v="Yes"/>
  </r>
  <r>
    <d v="2025-10-19T11:57:10"/>
    <x v="0"/>
    <s v="OCT"/>
    <d v="2025-10-19T11:57:10"/>
    <x v="0"/>
    <x v="0"/>
    <x v="0"/>
    <x v="1"/>
    <x v="2"/>
    <s v="No"/>
    <s v="Yes"/>
    <x v="1"/>
    <s v="Yes"/>
  </r>
  <r>
    <d v="2025-10-19T12:54:07"/>
    <x v="0"/>
    <s v="OCT"/>
    <d v="2025-10-19T12:54:07"/>
    <x v="1"/>
    <x v="0"/>
    <x v="2"/>
    <x v="4"/>
    <x v="2"/>
    <s v="No"/>
    <s v="Yes"/>
    <x v="0"/>
    <s v="Yes"/>
  </r>
  <r>
    <d v="2025-10-19T13:27:55"/>
    <x v="0"/>
    <s v="OCT"/>
    <d v="2025-10-19T13:27:55"/>
    <x v="1"/>
    <x v="0"/>
    <x v="2"/>
    <x v="0"/>
    <x v="4"/>
    <s v="Yes"/>
    <s v="Yes"/>
    <x v="1"/>
    <s v="Yes"/>
  </r>
  <r>
    <d v="2025-10-19T13:29:11"/>
    <x v="0"/>
    <s v="OCT"/>
    <d v="2025-10-19T13:29:11"/>
    <x v="1"/>
    <x v="0"/>
    <x v="0"/>
    <x v="0"/>
    <x v="5"/>
    <s v="No"/>
    <s v="Yes"/>
    <x v="0"/>
    <s v="Yes"/>
  </r>
  <r>
    <d v="2025-10-19T13:50:13"/>
    <x v="0"/>
    <s v="OCT"/>
    <d v="2025-10-19T13:50:13"/>
    <x v="1"/>
    <x v="1"/>
    <x v="3"/>
    <x v="4"/>
    <x v="5"/>
    <s v="No"/>
    <s v="Yes"/>
    <x v="0"/>
    <s v="Yes"/>
  </r>
  <r>
    <d v="2025-10-19T13:51:37"/>
    <x v="0"/>
    <s v="OCT"/>
    <d v="2025-10-19T13:51:37"/>
    <x v="1"/>
    <x v="0"/>
    <x v="0"/>
    <x v="0"/>
    <x v="5"/>
    <s v="No"/>
    <s v="No"/>
    <x v="2"/>
    <s v="Yes"/>
  </r>
  <r>
    <d v="2025-10-19T14:09:29"/>
    <x v="0"/>
    <s v="OCT"/>
    <d v="2025-10-19T14:09:29"/>
    <x v="1"/>
    <x v="0"/>
    <x v="0"/>
    <x v="2"/>
    <x v="3"/>
    <s v="No"/>
    <s v="No"/>
    <x v="2"/>
    <s v="Yes"/>
  </r>
  <r>
    <d v="2025-10-19T14:24:54"/>
    <x v="0"/>
    <s v="OCT"/>
    <d v="2025-10-19T14:24:54"/>
    <x v="1"/>
    <x v="1"/>
    <x v="0"/>
    <x v="0"/>
    <x v="0"/>
    <s v="No"/>
    <s v="No"/>
    <x v="3"/>
    <s v="Yes"/>
  </r>
  <r>
    <d v="2025-10-19T14:25:47"/>
    <x v="0"/>
    <s v="OCT"/>
    <d v="2025-10-19T14:25:47"/>
    <x v="1"/>
    <x v="0"/>
    <x v="2"/>
    <x v="0"/>
    <x v="0"/>
    <s v="No"/>
    <s v="No"/>
    <x v="0"/>
    <s v="Yes"/>
  </r>
  <r>
    <d v="2025-10-19T14:27:39"/>
    <x v="0"/>
    <s v="OCT"/>
    <d v="2025-10-19T14:27:39"/>
    <x v="1"/>
    <x v="0"/>
    <x v="2"/>
    <x v="0"/>
    <x v="0"/>
    <s v="No"/>
    <s v="No"/>
    <x v="0"/>
    <s v="Yes"/>
  </r>
  <r>
    <d v="2025-10-19T15:30:27"/>
    <x v="0"/>
    <s v="OCT"/>
    <d v="2025-10-19T15:30:27"/>
    <x v="1"/>
    <x v="1"/>
    <x v="2"/>
    <x v="0"/>
    <x v="1"/>
    <s v="Yes"/>
    <s v="Yes"/>
    <x v="0"/>
    <s v="Yes"/>
  </r>
  <r>
    <d v="2025-10-19T16:10:08"/>
    <x v="0"/>
    <s v="OCT"/>
    <d v="2025-10-19T16:10:08"/>
    <x v="1"/>
    <x v="1"/>
    <x v="0"/>
    <x v="0"/>
    <x v="1"/>
    <s v="Yes"/>
    <s v="Yes"/>
    <x v="0"/>
    <s v="Yes"/>
  </r>
  <r>
    <d v="2025-10-19T17:41:31"/>
    <x v="0"/>
    <s v="OCT"/>
    <d v="2025-10-19T17:41:31"/>
    <x v="1"/>
    <x v="0"/>
    <x v="0"/>
    <x v="1"/>
    <x v="2"/>
    <s v="Yes"/>
    <s v="Yes"/>
    <x v="0"/>
    <s v="Yes"/>
  </r>
  <r>
    <d v="2025-10-19T18:07:22"/>
    <x v="0"/>
    <s v="OCT"/>
    <d v="2025-10-19T18:07:22"/>
    <x v="1"/>
    <x v="0"/>
    <x v="2"/>
    <x v="0"/>
    <x v="0"/>
    <s v="No"/>
    <s v="Yes"/>
    <x v="2"/>
    <s v="Yes"/>
  </r>
  <r>
    <d v="2025-10-19T18:44:55"/>
    <x v="0"/>
    <s v="OCT"/>
    <d v="2025-10-19T18:44:55"/>
    <x v="1"/>
    <x v="1"/>
    <x v="0"/>
    <x v="0"/>
    <x v="2"/>
    <s v="No"/>
    <s v="Yes"/>
    <x v="0"/>
    <s v="Yes"/>
  </r>
  <r>
    <d v="2025-10-19T19:58:24"/>
    <x v="0"/>
    <s v="OCT"/>
    <d v="2025-10-19T19:58:24"/>
    <x v="1"/>
    <x v="0"/>
    <x v="0"/>
    <x v="0"/>
    <x v="2"/>
    <s v="No"/>
    <s v="N/A"/>
    <x v="0"/>
    <s v="Yes"/>
  </r>
  <r>
    <d v="2025-10-19T20:24:19"/>
    <x v="0"/>
    <s v="OCT"/>
    <d v="2025-10-19T20:24:19"/>
    <x v="1"/>
    <x v="0"/>
    <x v="0"/>
    <x v="0"/>
    <x v="5"/>
    <s v="No"/>
    <s v="Yes"/>
    <x v="3"/>
    <s v="Yes"/>
  </r>
  <r>
    <d v="2025-10-19T21:39:48"/>
    <x v="0"/>
    <s v="OCT"/>
    <d v="2025-10-19T21:39:48"/>
    <x v="1"/>
    <x v="1"/>
    <x v="0"/>
    <x v="0"/>
    <x v="5"/>
    <s v="No"/>
    <s v="Yes"/>
    <x v="1"/>
    <s v="Yes"/>
  </r>
  <r>
    <d v="2025-10-20T06:44:39"/>
    <x v="1"/>
    <s v="OCT"/>
    <d v="2025-10-20T06:44:39"/>
    <x v="0"/>
    <x v="0"/>
    <x v="0"/>
    <x v="0"/>
    <x v="2"/>
    <s v="No"/>
    <s v="Yes"/>
    <x v="0"/>
    <s v="Yes"/>
  </r>
  <r>
    <d v="2025-10-20T08:42:46"/>
    <x v="1"/>
    <s v="OCT"/>
    <d v="2025-10-20T08:42:46"/>
    <x v="0"/>
    <x v="0"/>
    <x v="2"/>
    <x v="1"/>
    <x v="0"/>
    <s v="No"/>
    <s v="No"/>
    <x v="1"/>
    <s v="Yes"/>
  </r>
  <r>
    <d v="2025-10-20T09:14:18"/>
    <x v="1"/>
    <s v="OCT"/>
    <d v="2025-10-20T09:14:18"/>
    <x v="0"/>
    <x v="1"/>
    <x v="0"/>
    <x v="0"/>
    <x v="5"/>
    <s v="Yes"/>
    <s v="Yes"/>
    <x v="0"/>
    <s v="Yes"/>
  </r>
  <r>
    <d v="2025-10-20T09:22:17"/>
    <x v="1"/>
    <s v="OCT"/>
    <d v="2025-10-20T09:22:17"/>
    <x v="0"/>
    <x v="0"/>
    <x v="0"/>
    <x v="0"/>
    <x v="1"/>
    <s v="No"/>
    <s v="Yes"/>
    <x v="0"/>
    <s v="Yes"/>
  </r>
  <r>
    <d v="2025-10-20T10:10:42"/>
    <x v="1"/>
    <s v="OCT"/>
    <d v="2025-10-20T10:10:42"/>
    <x v="0"/>
    <x v="0"/>
    <x v="0"/>
    <x v="0"/>
    <x v="2"/>
    <s v="No"/>
    <s v="No"/>
    <x v="1"/>
    <s v="Yes"/>
  </r>
  <r>
    <d v="2025-10-20T20:43:28"/>
    <x v="1"/>
    <s v="OCT"/>
    <d v="2025-10-20T20:43:28"/>
    <x v="1"/>
    <x v="1"/>
    <x v="0"/>
    <x v="0"/>
    <x v="2"/>
    <s v="No"/>
    <s v="Yes"/>
    <x v="0"/>
    <s v="Yes"/>
  </r>
  <r>
    <d v="2025-10-21T09:16:54"/>
    <x v="2"/>
    <s v="OCT"/>
    <d v="2025-10-21T09:16:54"/>
    <x v="0"/>
    <x v="1"/>
    <x v="2"/>
    <x v="0"/>
    <x v="3"/>
    <s v="Yes"/>
    <s v="Yes"/>
    <x v="0"/>
    <s v="Yes"/>
  </r>
  <r>
    <d v="2025-10-21T09:41:13"/>
    <x v="2"/>
    <s v="OCT"/>
    <d v="2025-10-21T09:41:13"/>
    <x v="0"/>
    <x v="1"/>
    <x v="0"/>
    <x v="0"/>
    <x v="1"/>
    <s v="No"/>
    <s v="No"/>
    <x v="1"/>
    <s v="Yes"/>
  </r>
  <r>
    <d v="2025-10-21T16:25:28"/>
    <x v="2"/>
    <s v="OCT"/>
    <d v="2025-10-21T16:25:28"/>
    <x v="1"/>
    <x v="1"/>
    <x v="2"/>
    <x v="4"/>
    <x v="2"/>
    <s v="Yes"/>
    <s v="Yes"/>
    <x v="1"/>
    <s v="Yes"/>
  </r>
  <r>
    <d v="2025-10-21T16:36:31"/>
    <x v="2"/>
    <s v="OCT"/>
    <d v="2025-10-21T16:36:31"/>
    <x v="1"/>
    <x v="1"/>
    <x v="2"/>
    <x v="4"/>
    <x v="2"/>
    <s v="Yes"/>
    <s v="Yes"/>
    <x v="1"/>
    <s v="Yes"/>
  </r>
  <r>
    <d v="2025-10-23T00:40:56"/>
    <x v="3"/>
    <s v="OCT"/>
    <d v="2025-10-23T00:40:56"/>
    <x v="0"/>
    <x v="1"/>
    <x v="3"/>
    <x v="4"/>
    <x v="2"/>
    <s v="Yes"/>
    <s v="Yes"/>
    <x v="1"/>
    <s v="Yes"/>
  </r>
  <r>
    <d v="2025-10-23T09:31:37"/>
    <x v="3"/>
    <s v="OCT"/>
    <d v="2025-10-23T09:31:37"/>
    <x v="0"/>
    <x v="1"/>
    <x v="2"/>
    <x v="0"/>
    <x v="0"/>
    <s v="Yes"/>
    <s v="Yes"/>
    <x v="0"/>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D9A098-9040-468F-B045-098248A17D6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0:E13" firstHeaderRow="1" firstDataRow="1" firstDataCol="1"/>
  <pivotFields count="13">
    <pivotField numFmtId="164" showAll="0"/>
    <pivotField showAll="0">
      <items count="5">
        <item x="1"/>
        <item x="2"/>
        <item x="3"/>
        <item x="0"/>
        <item t="default"/>
      </items>
    </pivotField>
    <pivotField showAll="0"/>
    <pivotField numFmtId="165" showAll="0"/>
    <pivotField axis="axisRow" dataField="1"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TIMEBELT" fld="4" subtotal="count" showDataAs="percentOfTotal" baseField="0" baseItem="0" numFmtId="10"/>
  </dataFields>
  <formats count="1">
    <format dxfId="0">
      <pivotArea collapsedLevelsAreSubtotals="1" fieldPosition="0">
        <references count="1">
          <reference field="4" count="0"/>
        </references>
      </pivotArea>
    </format>
  </formats>
  <chartFormats count="9">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9E2D59-909B-4F27-837D-6932376B375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1:H18" firstHeaderRow="1" firstDataRow="1" firstDataCol="1"/>
  <pivotFields count="13">
    <pivotField numFmtId="164" showAll="0"/>
    <pivotField showAll="0">
      <items count="5">
        <item x="1"/>
        <item x="2"/>
        <item x="3"/>
        <item x="0"/>
        <item t="default"/>
      </items>
    </pivotField>
    <pivotField showAll="0"/>
    <pivotField numFmtId="165" showAll="0"/>
    <pivotField showAll="0">
      <items count="3">
        <item x="0"/>
        <item x="1"/>
        <item t="default"/>
      </items>
    </pivotField>
    <pivotField showAll="0">
      <items count="3">
        <item x="1"/>
        <item x="0"/>
        <item t="default"/>
      </items>
    </pivotField>
    <pivotField showAll="0"/>
    <pivotField showAll="0"/>
    <pivotField axis="axisRow" dataField="1" showAll="0" sortType="ascending">
      <items count="8">
        <item m="1" x="6"/>
        <item x="3"/>
        <item x="0"/>
        <item x="2"/>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8"/>
  </rowFields>
  <rowItems count="7">
    <i>
      <x v="4"/>
    </i>
    <i>
      <x v="1"/>
    </i>
    <i>
      <x v="5"/>
    </i>
    <i>
      <x v="2"/>
    </i>
    <i>
      <x v="6"/>
    </i>
    <i>
      <x v="3"/>
    </i>
    <i t="grand">
      <x/>
    </i>
  </rowItems>
  <colItems count="1">
    <i/>
  </colItems>
  <dataFields count="1">
    <dataField name="REASON " fld="8" subtotal="count" showDataAs="percentOfTotal" baseField="8" baseItem="1" numFmtId="10"/>
  </dataFields>
  <formats count="1">
    <format dxfId="1">
      <pivotArea collapsedLevelsAreSubtotals="1" fieldPosition="0">
        <references count="1">
          <reference field="8"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2CF57A-43EE-412F-8D16-060C68EA8E6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H8" firstHeaderRow="1" firstDataRow="1" firstDataCol="1"/>
  <pivotFields count="13">
    <pivotField numFmtId="164" showAll="0"/>
    <pivotField showAll="0">
      <items count="5">
        <item x="1"/>
        <item x="2"/>
        <item x="3"/>
        <item x="0"/>
        <item t="default"/>
      </items>
    </pivotField>
    <pivotField showAll="0"/>
    <pivotField numFmtId="165" showAll="0"/>
    <pivotField showAll="0">
      <items count="3">
        <item x="0"/>
        <item x="1"/>
        <item t="default"/>
      </items>
    </pivotField>
    <pivotField showAll="0">
      <items count="3">
        <item x="1"/>
        <item x="0"/>
        <item t="default"/>
      </items>
    </pivotField>
    <pivotField showAll="0"/>
    <pivotField axis="axisRow" dataField="1" showAll="0" sortType="ascending">
      <items count="6">
        <item x="0"/>
        <item x="1"/>
        <item x="3"/>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7"/>
  </rowFields>
  <rowItems count="6">
    <i>
      <x v="2"/>
    </i>
    <i>
      <x v="3"/>
    </i>
    <i>
      <x v="1"/>
    </i>
    <i>
      <x v="4"/>
    </i>
    <i>
      <x/>
    </i>
    <i t="grand">
      <x/>
    </i>
  </rowItems>
  <colItems count="1">
    <i/>
  </colItems>
  <dataFields count="1">
    <dataField name="Highest Level of Education " fld="7" subtotal="count" showDataAs="percentOfTotal" baseField="7" baseItem="0" numFmtId="10"/>
  </dataFields>
  <formats count="1">
    <format dxfId="2">
      <pivotArea collapsedLevelsAreSubtotals="1" fieldPosition="0">
        <references count="1">
          <reference field="7"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2A509D-C553-4010-A928-D3AA123745D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0:A11" firstHeaderRow="1" firstDataRow="1" firstDataCol="0"/>
  <pivotFields count="13">
    <pivotField numFmtId="164" showAll="0"/>
    <pivotField dataField="1" showAll="0">
      <items count="5">
        <item x="1"/>
        <item x="2"/>
        <item x="3"/>
        <item x="0"/>
        <item t="default"/>
      </items>
    </pivotField>
    <pivotField showAll="0"/>
    <pivotField numFmtId="165"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s>
  <rowItems count="1">
    <i/>
  </rowItems>
  <colItems count="1">
    <i/>
  </colItems>
  <dataFields count="1">
    <dataField name="Count of Day"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686F7D-DE5D-4B00-B26F-FD1FFF966D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E7" firstHeaderRow="1" firstDataRow="1" firstDataCol="1"/>
  <pivotFields count="13">
    <pivotField numFmtId="164" showAll="0"/>
    <pivotField axis="axisRow" dataField="1" showAll="0" sortType="ascending">
      <items count="5">
        <item x="1"/>
        <item x="2"/>
        <item x="3"/>
        <item x="0"/>
        <item t="default"/>
      </items>
    </pivotField>
    <pivotField showAll="0"/>
    <pivotField numFmtId="165"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DAILY REGISTRATION TREND" fld="1" subtotal="count" showDataAs="percentOfTotal" baseField="1" baseItem="0" numFmtId="10"/>
  </dataFields>
  <formats count="1">
    <format dxfId="3">
      <pivotArea collapsedLevelsAreSubtotals="1" fieldPosition="0">
        <references count="1">
          <reference field="1" count="0"/>
        </references>
      </pivotArea>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9F328B-01C2-4151-B858-B717329DBBE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B3" firstHeaderRow="1" firstDataRow="1" firstDataCol="1"/>
  <pivotFields count="13">
    <pivotField numFmtId="164" showAll="0"/>
    <pivotField dataField="1" showAll="0">
      <items count="5">
        <item x="1"/>
        <item x="2"/>
        <item x="3"/>
        <item x="0"/>
        <item t="default"/>
      </items>
    </pivotField>
    <pivotField showAll="0"/>
    <pivotField numFmtId="165" showAll="0"/>
    <pivotField showAll="0">
      <items count="3">
        <item x="0"/>
        <item x="1"/>
        <item t="default"/>
      </items>
    </pivotField>
    <pivotField axis="axisRow" showAll="0">
      <items count="3">
        <item x="1"/>
        <item x="0"/>
        <item t="default"/>
      </items>
    </pivotField>
    <pivotField showAll="0"/>
    <pivotField showAll="0"/>
    <pivotField showAll="0"/>
    <pivotField showAll="0"/>
    <pivotField showAll="0"/>
    <pivotField showAll="0"/>
    <pivotField showAll="0"/>
  </pivotFields>
  <rowFields count="1">
    <field x="5"/>
  </rowFields>
  <rowItems count="2">
    <i>
      <x/>
    </i>
    <i>
      <x v="1"/>
    </i>
  </rowItems>
  <colItems count="1">
    <i/>
  </colItems>
  <dataFields count="1">
    <dataField name="Count of Day" fld="1" subtotal="count" showDataAs="percentOfTotal" baseField="0" baseItem="0" numFmtId="166"/>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E412F8-A427-4151-BF60-35CE32EBC54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0:H25" firstHeaderRow="1" firstDataRow="1" firstDataCol="1"/>
  <pivotFields count="13">
    <pivotField numFmtId="164" showAll="0"/>
    <pivotField showAll="0">
      <items count="5">
        <item x="1"/>
        <item x="2"/>
        <item x="3"/>
        <item x="0"/>
        <item t="default"/>
      </items>
    </pivotField>
    <pivotField showAll="0"/>
    <pivotField numFmtId="165"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axis="axisRow" dataField="1"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5">
    <i>
      <x/>
    </i>
    <i>
      <x v="3"/>
    </i>
    <i>
      <x v="2"/>
    </i>
    <i>
      <x v="1"/>
    </i>
    <i t="grand">
      <x/>
    </i>
  </rowItems>
  <colItems count="1">
    <i/>
  </colItems>
  <dataFields count="1">
    <dataField name="MEANS OF INFORMATION " fld="11" subtotal="count" showDataAs="percentOfTotal" baseField="11" baseItem="0" numFmtId="10"/>
  </dataFields>
  <formats count="1">
    <format dxfId="5">
      <pivotArea collapsedLevelsAreSubtotals="1" fieldPosition="0">
        <references count="1">
          <reference field="11"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E27148-45EC-44B3-A5DA-B44802CE69A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6:E21" firstHeaderRow="1" firstDataRow="1" firstDataCol="1"/>
  <pivotFields count="13">
    <pivotField numFmtId="164" showAll="0"/>
    <pivotField showAll="0">
      <items count="5">
        <item x="1"/>
        <item x="2"/>
        <item x="3"/>
        <item x="0"/>
        <item t="default"/>
      </items>
    </pivotField>
    <pivotField showAll="0"/>
    <pivotField numFmtId="165" showAll="0"/>
    <pivotField showAll="0">
      <items count="3">
        <item x="0"/>
        <item x="1"/>
        <item t="default"/>
      </items>
    </pivotField>
    <pivotField showAll="0">
      <items count="3">
        <item x="1"/>
        <item x="0"/>
        <item t="default"/>
      </items>
    </pivotField>
    <pivotField axis="axisRow" dataField="1"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6"/>
  </rowFields>
  <rowItems count="5">
    <i>
      <x v="2"/>
    </i>
    <i>
      <x v="3"/>
    </i>
    <i>
      <x/>
    </i>
    <i>
      <x v="1"/>
    </i>
    <i t="grand">
      <x/>
    </i>
  </rowItems>
  <colItems count="1">
    <i/>
  </colItems>
  <dataFields count="1">
    <dataField name="AGE DISTRIBUTION" fld="6" subtotal="count" showDataAs="percentOfTotal" baseField="0" baseItem="0" numFmtId="10"/>
  </dataFields>
  <formats count="1">
    <format dxfId="6">
      <pivotArea collapsedLevelsAreSubtotals="1" fieldPosition="0">
        <references count="1">
          <reference field="6" count="0"/>
        </references>
      </pivotArea>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the_Day" xr10:uid="{56FB85B1-AADD-481F-A063-2BFD068F4018}" sourceName="Time of the Da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9763472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12D3F43-DDF7-4B38-8E26-ED50C9B5579C}" sourceName="Gender">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s>
  <data>
    <tabular pivotCacheId="97634728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72E48AF4-9D39-46B7-B209-06F38A2AEF11}" sourceName="Day">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s>
  <data>
    <tabular pivotCacheId="976347287">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of the Day" xr10:uid="{B902663A-D6F8-4651-B031-1929C095B737}" cache="Slicer_Time_of_the_Day" caption="Time of the Day" style="ASAP" rowHeight="241300"/>
  <slicer name="Gender" xr10:uid="{FD8F65DE-83F0-4307-8AA7-B30D9BE66758}" cache="Slicer_Gender" caption="Gender" style="ASAP" rowHeight="241300"/>
  <slicer name="Day" xr10:uid="{71290B9A-47CB-4288-8B60-87FC9F5419D0}" cache="Slicer_Day" caption="Day" style="ASA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886D83-F06E-4D0C-8F56-A05E9F521E8C}" name="Form_Responses" displayName="Form_Responses" ref="A1:I47">
  <tableColumns count="9">
    <tableColumn id="1" xr3:uid="{BE2FEF9A-21A5-463C-997A-328170358413}" name="Timestamp"/>
    <tableColumn id="5" xr3:uid="{8892B47A-DF1A-482C-94F1-7FEA43E883D7}" name="4. Gender"/>
    <tableColumn id="6" xr3:uid="{F1DCFE15-5B37-4A4D-B43C-5EDAF1C8D654}" name="5. Age Range"/>
    <tableColumn id="7" xr3:uid="{01FC15D0-7848-4E03-A155-E7199A54809F}" name="6. Highest Level of Education"/>
    <tableColumn id="8" xr3:uid="{C167C564-0D6A-49B6-944D-1462DCA99244}" name="7. Why do you want to join the Adullam Skill Acquisition Program? "/>
    <tableColumn id="9" xr3:uid="{309B4C5F-E28C-42CF-AFA6-9F632E5936EA}" name="8. Did you attend Adullam Skill Acquisition Program 1.0?"/>
    <tableColumn id="10" xr3:uid="{5ABCEB67-8DC7-495E-A904-54134E6C217A}" name="9. I understand that I will have to pay upon arrival, as the slots are limited and only selected applicants will receive mail to attend."/>
    <tableColumn id="11" xr3:uid="{DE5FA64A-FE26-41A5-9046-C938BF2EFAF7}" name="10. How did you hear about this program?"/>
    <tableColumn id="12" xr3:uid="{D7AE60A6-4A5E-4BD7-8470-38DAE9E77E43}" name="11. I agree to commit my time and actively participate in the training."/>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EB9A4D-7D98-4D76-900C-50EBB5DF6254}" name="ASAP" displayName="ASAP" ref="A1:M47" totalsRowShown="0" headerRowDxfId="21" dataDxfId="20" tableBorderDxfId="19">
  <autoFilter ref="A1:M47" xr:uid="{CDEB9A4D-7D98-4D76-900C-50EBB5DF6254}"/>
  <tableColumns count="13">
    <tableColumn id="1" xr3:uid="{DBA9D2AF-0A45-45C3-83DD-0473762ADA5F}" name="Timestamp" dataDxfId="18"/>
    <tableColumn id="2" xr3:uid="{9A7F7B69-305E-4DD2-BFF2-4E3EE824525E}" name="Day" dataDxfId="17">
      <calculatedColumnFormula>UPPER(TEXT(A2,"DDD"))</calculatedColumnFormula>
    </tableColumn>
    <tableColumn id="3" xr3:uid="{B33A030F-4EC9-4915-BE82-89415B21949F}" name="Month" dataDxfId="16">
      <calculatedColumnFormula>UPPER(TEXT(A2,"MMM"))</calculatedColumnFormula>
    </tableColumn>
    <tableColumn id="4" xr3:uid="{C1CA6D43-59B8-42BD-B154-169F74408329}" name="Time" dataDxfId="15"/>
    <tableColumn id="5" xr3:uid="{8A805FEC-8B26-438B-B8FE-A7730F96F9A7}" name="Time of the Day" dataDxfId="14"/>
    <tableColumn id="6" xr3:uid="{E85DE9E8-5A13-41CB-8126-CEE8CE82C2BC}" name="Gender" dataDxfId="13"/>
    <tableColumn id="7" xr3:uid="{F10D8F3C-6D02-41C0-8EC8-BC2010706353}" name="Age Group" dataDxfId="12"/>
    <tableColumn id="8" xr3:uid="{FE2D69DE-9BF7-4C31-BD7A-144DC9BDBFFC}" name="Highest Level of Education"/>
    <tableColumn id="9" xr3:uid="{2A8B5ACA-7A2F-44A4-B9CE-9BA026E949C9}" name="Reason" dataDxfId="11"/>
    <tableColumn id="10" xr3:uid="{CE45B06A-11B2-4416-8C4A-30F28BEB722A}" name="Attend ASAP 1.0" dataDxfId="10"/>
    <tableColumn id="11" xr3:uid="{2308D8A4-5C97-4794-9358-FE05D6A3C43D}" name="Payment Notice" dataDxfId="9"/>
    <tableColumn id="12" xr3:uid="{9E2A101E-4235-42F8-96CD-7CE2446235CD}" name="Means of Information" dataDxfId="8"/>
    <tableColumn id="13" xr3:uid="{CB60B5E9-4798-4E50-839A-E45B3ED47F73}" name="Commitment"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651DB-DBF1-42F4-BE30-9CC66E25368D}">
  <dimension ref="A1:I47"/>
  <sheetViews>
    <sheetView workbookViewId="0">
      <selection activeCell="D25" sqref="D25"/>
    </sheetView>
  </sheetViews>
  <sheetFormatPr defaultColWidth="12.54296875" defaultRowHeight="14.5" x14ac:dyDescent="0.35"/>
  <cols>
    <col min="1" max="3" width="18.81640625" customWidth="1"/>
    <col min="4" max="4" width="26.453125" customWidth="1"/>
    <col min="5" max="7" width="37.54296875" customWidth="1"/>
    <col min="8" max="8" width="35.453125" customWidth="1"/>
    <col min="9" max="9" width="37.54296875" customWidth="1"/>
    <col min="10" max="15" width="18.81640625" customWidth="1"/>
  </cols>
  <sheetData>
    <row r="1" spans="1:9" x14ac:dyDescent="0.35">
      <c r="A1" s="35" t="s">
        <v>0</v>
      </c>
      <c r="B1" s="36" t="s">
        <v>38</v>
      </c>
      <c r="C1" s="36" t="s">
        <v>39</v>
      </c>
      <c r="D1" s="36" t="s">
        <v>40</v>
      </c>
      <c r="E1" s="36" t="s">
        <v>41</v>
      </c>
      <c r="F1" s="36" t="s">
        <v>42</v>
      </c>
      <c r="G1" s="36" t="s">
        <v>43</v>
      </c>
      <c r="H1" s="36" t="s">
        <v>44</v>
      </c>
      <c r="I1" s="37" t="s">
        <v>45</v>
      </c>
    </row>
    <row r="2" spans="1:9" x14ac:dyDescent="0.35">
      <c r="A2" s="38">
        <v>45949.474548101847</v>
      </c>
      <c r="B2" s="39" t="s">
        <v>1</v>
      </c>
      <c r="C2" s="39" t="s">
        <v>46</v>
      </c>
      <c r="D2" s="39" t="s">
        <v>47</v>
      </c>
      <c r="E2" s="39" t="s">
        <v>48</v>
      </c>
      <c r="F2" s="39" t="s">
        <v>2</v>
      </c>
      <c r="G2" s="39" t="s">
        <v>3</v>
      </c>
      <c r="H2" s="39" t="s">
        <v>49</v>
      </c>
      <c r="I2" s="40" t="s">
        <v>3</v>
      </c>
    </row>
    <row r="3" spans="1:9" x14ac:dyDescent="0.35">
      <c r="A3" s="41">
        <v>45949.475285335648</v>
      </c>
      <c r="B3" s="42" t="s">
        <v>1</v>
      </c>
      <c r="C3" s="42" t="s">
        <v>46</v>
      </c>
      <c r="D3" s="42" t="s">
        <v>47</v>
      </c>
      <c r="E3" s="42" t="s">
        <v>50</v>
      </c>
      <c r="F3" s="42" t="s">
        <v>3</v>
      </c>
      <c r="G3" s="42" t="s">
        <v>3</v>
      </c>
      <c r="H3" s="42" t="s">
        <v>49</v>
      </c>
      <c r="I3" s="43" t="s">
        <v>3</v>
      </c>
    </row>
    <row r="4" spans="1:9" x14ac:dyDescent="0.35">
      <c r="A4" s="38">
        <v>45949.476170196758</v>
      </c>
      <c r="B4" s="39" t="s">
        <v>1</v>
      </c>
      <c r="C4" s="39" t="s">
        <v>46</v>
      </c>
      <c r="D4" s="39" t="s">
        <v>47</v>
      </c>
      <c r="E4" s="39" t="s">
        <v>51</v>
      </c>
      <c r="F4" s="39" t="s">
        <v>3</v>
      </c>
      <c r="G4" s="39" t="s">
        <v>3</v>
      </c>
      <c r="H4" s="39" t="s">
        <v>49</v>
      </c>
      <c r="I4" s="40" t="s">
        <v>3</v>
      </c>
    </row>
    <row r="5" spans="1:9" x14ac:dyDescent="0.35">
      <c r="A5" s="41">
        <v>45949.476350798606</v>
      </c>
      <c r="B5" s="42" t="s">
        <v>1</v>
      </c>
      <c r="C5" s="42" t="s">
        <v>52</v>
      </c>
      <c r="D5" s="42" t="s">
        <v>53</v>
      </c>
      <c r="E5" s="42" t="s">
        <v>54</v>
      </c>
      <c r="F5" s="42" t="s">
        <v>3</v>
      </c>
      <c r="G5" s="42" t="s">
        <v>3</v>
      </c>
      <c r="H5" s="42" t="s">
        <v>49</v>
      </c>
      <c r="I5" s="43" t="s">
        <v>3</v>
      </c>
    </row>
    <row r="6" spans="1:9" x14ac:dyDescent="0.35">
      <c r="A6" s="38">
        <v>45949.476949062504</v>
      </c>
      <c r="B6" s="39" t="s">
        <v>4</v>
      </c>
      <c r="C6" s="39" t="s">
        <v>55</v>
      </c>
      <c r="D6" s="39" t="s">
        <v>47</v>
      </c>
      <c r="E6" s="39" t="s">
        <v>56</v>
      </c>
      <c r="F6" s="39" t="s">
        <v>2</v>
      </c>
      <c r="G6" s="39" t="s">
        <v>2</v>
      </c>
      <c r="H6" s="39" t="s">
        <v>49</v>
      </c>
      <c r="I6" s="40" t="s">
        <v>3</v>
      </c>
    </row>
    <row r="7" spans="1:9" x14ac:dyDescent="0.35">
      <c r="A7" s="41">
        <v>45949.477002546293</v>
      </c>
      <c r="B7" s="42" t="s">
        <v>1</v>
      </c>
      <c r="C7" s="42" t="s">
        <v>46</v>
      </c>
      <c r="D7" s="42" t="s">
        <v>57</v>
      </c>
      <c r="E7" s="42" t="s">
        <v>58</v>
      </c>
      <c r="F7" s="42" t="s">
        <v>2</v>
      </c>
      <c r="G7" s="42" t="s">
        <v>3</v>
      </c>
      <c r="H7" s="42" t="s">
        <v>49</v>
      </c>
      <c r="I7" s="43" t="s">
        <v>3</v>
      </c>
    </row>
    <row r="8" spans="1:9" x14ac:dyDescent="0.35">
      <c r="A8" s="38">
        <v>45949.47717327546</v>
      </c>
      <c r="B8" s="39" t="s">
        <v>1</v>
      </c>
      <c r="C8" s="39" t="s">
        <v>46</v>
      </c>
      <c r="D8" s="39" t="s">
        <v>47</v>
      </c>
      <c r="E8" s="39" t="s">
        <v>59</v>
      </c>
      <c r="F8" s="39" t="s">
        <v>3</v>
      </c>
      <c r="G8" s="39" t="s">
        <v>3</v>
      </c>
      <c r="H8" s="39" t="s">
        <v>49</v>
      </c>
      <c r="I8" s="40" t="s">
        <v>3</v>
      </c>
    </row>
    <row r="9" spans="1:9" x14ac:dyDescent="0.35">
      <c r="A9" s="41">
        <v>45949.477482013885</v>
      </c>
      <c r="B9" s="42" t="s">
        <v>1</v>
      </c>
      <c r="C9" s="42" t="s">
        <v>46</v>
      </c>
      <c r="D9" s="42" t="s">
        <v>47</v>
      </c>
      <c r="E9" s="42" t="s">
        <v>60</v>
      </c>
      <c r="F9" s="42" t="s">
        <v>3</v>
      </c>
      <c r="G9" s="42" t="s">
        <v>3</v>
      </c>
      <c r="H9" s="42" t="s">
        <v>49</v>
      </c>
      <c r="I9" s="43" t="s">
        <v>3</v>
      </c>
    </row>
    <row r="10" spans="1:9" x14ac:dyDescent="0.35">
      <c r="A10" s="38">
        <v>45949.477635208328</v>
      </c>
      <c r="B10" s="39" t="s">
        <v>4</v>
      </c>
      <c r="C10" s="39" t="s">
        <v>46</v>
      </c>
      <c r="D10" s="39" t="s">
        <v>47</v>
      </c>
      <c r="E10" s="39" t="s">
        <v>61</v>
      </c>
      <c r="F10" s="39" t="s">
        <v>2</v>
      </c>
      <c r="G10" s="39" t="s">
        <v>3</v>
      </c>
      <c r="H10" s="39" t="s">
        <v>49</v>
      </c>
      <c r="I10" s="40" t="s">
        <v>3</v>
      </c>
    </row>
    <row r="11" spans="1:9" x14ac:dyDescent="0.35">
      <c r="A11" s="41">
        <v>45949.477901215279</v>
      </c>
      <c r="B11" s="42" t="s">
        <v>4</v>
      </c>
      <c r="C11" s="42" t="s">
        <v>46</v>
      </c>
      <c r="D11" s="42" t="s">
        <v>47</v>
      </c>
      <c r="E11" s="42" t="s">
        <v>62</v>
      </c>
      <c r="F11" s="42" t="s">
        <v>3</v>
      </c>
      <c r="G11" s="42" t="s">
        <v>3</v>
      </c>
      <c r="H11" s="42" t="s">
        <v>49</v>
      </c>
      <c r="I11" s="43" t="s">
        <v>3</v>
      </c>
    </row>
    <row r="12" spans="1:9" x14ac:dyDescent="0.35">
      <c r="A12" s="38">
        <v>45949.480240486111</v>
      </c>
      <c r="B12" s="39" t="s">
        <v>4</v>
      </c>
      <c r="C12" s="39" t="s">
        <v>46</v>
      </c>
      <c r="D12" s="39" t="s">
        <v>47</v>
      </c>
      <c r="E12" s="39" t="s">
        <v>63</v>
      </c>
      <c r="F12" s="39" t="s">
        <v>2</v>
      </c>
      <c r="G12" s="39" t="s">
        <v>2</v>
      </c>
      <c r="H12" s="39" t="s">
        <v>49</v>
      </c>
      <c r="I12" s="40" t="s">
        <v>3</v>
      </c>
    </row>
    <row r="13" spans="1:9" x14ac:dyDescent="0.35">
      <c r="A13" s="41">
        <v>45949.480564884259</v>
      </c>
      <c r="B13" s="42" t="s">
        <v>1</v>
      </c>
      <c r="C13" s="42" t="s">
        <v>55</v>
      </c>
      <c r="D13" s="42" t="s">
        <v>64</v>
      </c>
      <c r="E13" s="42" t="s">
        <v>65</v>
      </c>
      <c r="F13" s="42" t="s">
        <v>2</v>
      </c>
      <c r="G13" s="42" t="s">
        <v>3</v>
      </c>
      <c r="H13" s="42" t="s">
        <v>49</v>
      </c>
      <c r="I13" s="43" t="s">
        <v>3</v>
      </c>
    </row>
    <row r="14" spans="1:9" x14ac:dyDescent="0.35">
      <c r="A14" s="38">
        <v>45949.481325057874</v>
      </c>
      <c r="B14" s="39" t="s">
        <v>4</v>
      </c>
      <c r="C14" s="39" t="s">
        <v>46</v>
      </c>
      <c r="D14" s="39" t="s">
        <v>47</v>
      </c>
      <c r="E14" s="39" t="s">
        <v>66</v>
      </c>
      <c r="F14" s="39" t="s">
        <v>2</v>
      </c>
      <c r="G14" s="39" t="s">
        <v>3</v>
      </c>
      <c r="H14" s="39" t="s">
        <v>49</v>
      </c>
      <c r="I14" s="40" t="s">
        <v>3</v>
      </c>
    </row>
    <row r="15" spans="1:9" x14ac:dyDescent="0.35">
      <c r="A15" s="41">
        <v>45949.483161145836</v>
      </c>
      <c r="B15" s="42" t="s">
        <v>1</v>
      </c>
      <c r="C15" s="42" t="s">
        <v>46</v>
      </c>
      <c r="D15" s="42" t="s">
        <v>47</v>
      </c>
      <c r="E15" s="42" t="s">
        <v>67</v>
      </c>
      <c r="F15" s="42" t="s">
        <v>2</v>
      </c>
      <c r="G15" s="42" t="s">
        <v>3</v>
      </c>
      <c r="H15" s="42" t="s">
        <v>49</v>
      </c>
      <c r="I15" s="43" t="s">
        <v>3</v>
      </c>
    </row>
    <row r="16" spans="1:9" x14ac:dyDescent="0.35">
      <c r="A16" s="38">
        <v>45949.492122523152</v>
      </c>
      <c r="B16" s="39" t="s">
        <v>4</v>
      </c>
      <c r="C16" s="39" t="s">
        <v>46</v>
      </c>
      <c r="D16" s="39" t="s">
        <v>47</v>
      </c>
      <c r="E16" s="39" t="s">
        <v>68</v>
      </c>
      <c r="F16" s="39" t="s">
        <v>2</v>
      </c>
      <c r="G16" s="39" t="s">
        <v>3</v>
      </c>
      <c r="H16" s="39" t="s">
        <v>49</v>
      </c>
      <c r="I16" s="40" t="s">
        <v>3</v>
      </c>
    </row>
    <row r="17" spans="1:9" x14ac:dyDescent="0.35">
      <c r="A17" s="41">
        <v>45949.494607337961</v>
      </c>
      <c r="B17" s="42" t="s">
        <v>4</v>
      </c>
      <c r="C17" s="42" t="s">
        <v>46</v>
      </c>
      <c r="D17" s="42" t="s">
        <v>47</v>
      </c>
      <c r="E17" s="42" t="s">
        <v>69</v>
      </c>
      <c r="F17" s="42" t="s">
        <v>3</v>
      </c>
      <c r="G17" s="42" t="s">
        <v>3</v>
      </c>
      <c r="H17" s="42" t="s">
        <v>49</v>
      </c>
      <c r="I17" s="43" t="s">
        <v>3</v>
      </c>
    </row>
    <row r="18" spans="1:9" x14ac:dyDescent="0.35">
      <c r="A18" s="38">
        <v>45949.498029571754</v>
      </c>
      <c r="B18" s="39" t="s">
        <v>1</v>
      </c>
      <c r="C18" s="39" t="s">
        <v>46</v>
      </c>
      <c r="D18" s="39" t="s">
        <v>53</v>
      </c>
      <c r="E18" s="39" t="s">
        <v>70</v>
      </c>
      <c r="F18" s="39" t="s">
        <v>2</v>
      </c>
      <c r="G18" s="39" t="s">
        <v>3</v>
      </c>
      <c r="H18" s="39" t="s">
        <v>71</v>
      </c>
      <c r="I18" s="40" t="s">
        <v>3</v>
      </c>
    </row>
    <row r="19" spans="1:9" x14ac:dyDescent="0.35">
      <c r="A19" s="41">
        <v>45949.537585717597</v>
      </c>
      <c r="B19" s="42" t="s">
        <v>1</v>
      </c>
      <c r="C19" s="42" t="s">
        <v>55</v>
      </c>
      <c r="D19" s="42" t="s">
        <v>72</v>
      </c>
      <c r="E19" s="42" t="s">
        <v>73</v>
      </c>
      <c r="F19" s="42" t="s">
        <v>2</v>
      </c>
      <c r="G19" s="42" t="s">
        <v>3</v>
      </c>
      <c r="H19" s="42" t="s">
        <v>49</v>
      </c>
      <c r="I19" s="43" t="s">
        <v>3</v>
      </c>
    </row>
    <row r="20" spans="1:9" x14ac:dyDescent="0.35">
      <c r="A20" s="38">
        <v>45949.561048738426</v>
      </c>
      <c r="B20" s="39" t="s">
        <v>1</v>
      </c>
      <c r="C20" s="39" t="s">
        <v>55</v>
      </c>
      <c r="D20" s="39" t="s">
        <v>47</v>
      </c>
      <c r="E20" s="39" t="s">
        <v>5</v>
      </c>
      <c r="F20" s="39" t="s">
        <v>3</v>
      </c>
      <c r="G20" s="39" t="s">
        <v>3</v>
      </c>
      <c r="H20" s="39" t="s">
        <v>71</v>
      </c>
      <c r="I20" s="40" t="s">
        <v>3</v>
      </c>
    </row>
    <row r="21" spans="1:9" x14ac:dyDescent="0.35">
      <c r="A21" s="41">
        <v>45949.561929826392</v>
      </c>
      <c r="B21" s="42" t="s">
        <v>1</v>
      </c>
      <c r="C21" s="42" t="s">
        <v>46</v>
      </c>
      <c r="D21" s="42" t="s">
        <v>47</v>
      </c>
      <c r="E21" s="42" t="s">
        <v>74</v>
      </c>
      <c r="F21" s="42" t="s">
        <v>2</v>
      </c>
      <c r="G21" s="42" t="s">
        <v>3</v>
      </c>
      <c r="H21" s="42" t="s">
        <v>49</v>
      </c>
      <c r="I21" s="43" t="s">
        <v>3</v>
      </c>
    </row>
    <row r="22" spans="1:9" x14ac:dyDescent="0.35">
      <c r="A22" s="38">
        <v>45949.576534340275</v>
      </c>
      <c r="B22" s="39" t="s">
        <v>4</v>
      </c>
      <c r="C22" s="39" t="s">
        <v>75</v>
      </c>
      <c r="D22" s="39" t="s">
        <v>72</v>
      </c>
      <c r="E22" s="39" t="s">
        <v>76</v>
      </c>
      <c r="F22" s="39" t="s">
        <v>2</v>
      </c>
      <c r="G22" s="39" t="s">
        <v>3</v>
      </c>
      <c r="H22" s="39" t="s">
        <v>49</v>
      </c>
      <c r="I22" s="40" t="s">
        <v>3</v>
      </c>
    </row>
    <row r="23" spans="1:9" x14ac:dyDescent="0.35">
      <c r="A23" s="41">
        <v>45949.577515925921</v>
      </c>
      <c r="B23" s="42" t="s">
        <v>1</v>
      </c>
      <c r="C23" s="42" t="s">
        <v>46</v>
      </c>
      <c r="D23" s="42" t="s">
        <v>47</v>
      </c>
      <c r="E23" s="42" t="s">
        <v>77</v>
      </c>
      <c r="F23" s="42" t="s">
        <v>2</v>
      </c>
      <c r="G23" s="42" t="s">
        <v>2</v>
      </c>
      <c r="H23" s="42" t="s">
        <v>78</v>
      </c>
      <c r="I23" s="43" t="s">
        <v>3</v>
      </c>
    </row>
    <row r="24" spans="1:9" x14ac:dyDescent="0.35">
      <c r="A24" s="38">
        <v>45949.589921689811</v>
      </c>
      <c r="B24" s="39" t="s">
        <v>1</v>
      </c>
      <c r="C24" s="39" t="s">
        <v>46</v>
      </c>
      <c r="D24" s="39" t="s">
        <v>57</v>
      </c>
      <c r="E24" s="39" t="s">
        <v>79</v>
      </c>
      <c r="F24" s="39" t="s">
        <v>2</v>
      </c>
      <c r="G24" s="39" t="s">
        <v>2</v>
      </c>
      <c r="H24" s="39" t="s">
        <v>78</v>
      </c>
      <c r="I24" s="40" t="s">
        <v>3</v>
      </c>
    </row>
    <row r="25" spans="1:9" x14ac:dyDescent="0.35">
      <c r="A25" s="41">
        <v>45949.600627442131</v>
      </c>
      <c r="B25" s="42" t="s">
        <v>4</v>
      </c>
      <c r="C25" s="42" t="s">
        <v>46</v>
      </c>
      <c r="D25" s="42" t="s">
        <v>47</v>
      </c>
      <c r="E25" s="42" t="s">
        <v>80</v>
      </c>
      <c r="F25" s="42" t="s">
        <v>2</v>
      </c>
      <c r="G25" s="42" t="s">
        <v>2</v>
      </c>
      <c r="H25" s="42" t="s">
        <v>81</v>
      </c>
      <c r="I25" s="43" t="s">
        <v>3</v>
      </c>
    </row>
    <row r="26" spans="1:9" x14ac:dyDescent="0.35">
      <c r="A26" s="38">
        <v>45949.601240520831</v>
      </c>
      <c r="B26" s="39" t="s">
        <v>1</v>
      </c>
      <c r="C26" s="39" t="s">
        <v>55</v>
      </c>
      <c r="D26" s="39" t="s">
        <v>47</v>
      </c>
      <c r="E26" s="39" t="s">
        <v>82</v>
      </c>
      <c r="F26" s="39" t="s">
        <v>2</v>
      </c>
      <c r="G26" s="39" t="s">
        <v>2</v>
      </c>
      <c r="H26" s="39" t="s">
        <v>49</v>
      </c>
      <c r="I26" s="40" t="s">
        <v>3</v>
      </c>
    </row>
    <row r="27" spans="1:9" x14ac:dyDescent="0.35">
      <c r="A27" s="41">
        <v>45949.602529768519</v>
      </c>
      <c r="B27" s="42" t="s">
        <v>1</v>
      </c>
      <c r="C27" s="42" t="s">
        <v>55</v>
      </c>
      <c r="D27" s="42" t="s">
        <v>47</v>
      </c>
      <c r="E27" s="42" t="s">
        <v>83</v>
      </c>
      <c r="F27" s="42" t="s">
        <v>2</v>
      </c>
      <c r="G27" s="42" t="s">
        <v>2</v>
      </c>
      <c r="H27" s="42" t="s">
        <v>49</v>
      </c>
      <c r="I27" s="43" t="s">
        <v>3</v>
      </c>
    </row>
    <row r="28" spans="1:9" x14ac:dyDescent="0.35">
      <c r="A28" s="38">
        <v>45949.646145243052</v>
      </c>
      <c r="B28" s="39" t="s">
        <v>4</v>
      </c>
      <c r="C28" s="39" t="s">
        <v>55</v>
      </c>
      <c r="D28" s="39" t="s">
        <v>47</v>
      </c>
      <c r="E28" s="39" t="s">
        <v>84</v>
      </c>
      <c r="F28" s="39" t="s">
        <v>3</v>
      </c>
      <c r="G28" s="39" t="s">
        <v>3</v>
      </c>
      <c r="H28" s="39" t="s">
        <v>49</v>
      </c>
      <c r="I28" s="40" t="s">
        <v>3</v>
      </c>
    </row>
    <row r="29" spans="1:9" x14ac:dyDescent="0.35">
      <c r="A29" s="41">
        <v>45949.673704699075</v>
      </c>
      <c r="B29" s="42" t="s">
        <v>4</v>
      </c>
      <c r="C29" s="42" t="s">
        <v>46</v>
      </c>
      <c r="D29" s="42" t="s">
        <v>47</v>
      </c>
      <c r="E29" s="42" t="s">
        <v>85</v>
      </c>
      <c r="F29" s="42" t="s">
        <v>3</v>
      </c>
      <c r="G29" s="42" t="s">
        <v>3</v>
      </c>
      <c r="H29" s="42" t="s">
        <v>49</v>
      </c>
      <c r="I29" s="43" t="s">
        <v>3</v>
      </c>
    </row>
    <row r="30" spans="1:9" x14ac:dyDescent="0.35">
      <c r="A30" s="38">
        <v>45949.737167627318</v>
      </c>
      <c r="B30" s="39" t="s">
        <v>1</v>
      </c>
      <c r="C30" s="39" t="s">
        <v>46</v>
      </c>
      <c r="D30" s="39" t="s">
        <v>53</v>
      </c>
      <c r="E30" s="39" t="s">
        <v>86</v>
      </c>
      <c r="F30" s="39" t="s">
        <v>3</v>
      </c>
      <c r="G30" s="39" t="s">
        <v>3</v>
      </c>
      <c r="H30" s="39" t="s">
        <v>49</v>
      </c>
      <c r="I30" s="40" t="s">
        <v>3</v>
      </c>
    </row>
    <row r="31" spans="1:9" x14ac:dyDescent="0.35">
      <c r="A31" s="41">
        <v>45949.755115856482</v>
      </c>
      <c r="B31" s="42" t="s">
        <v>1</v>
      </c>
      <c r="C31" s="42" t="s">
        <v>55</v>
      </c>
      <c r="D31" s="42" t="s">
        <v>47</v>
      </c>
      <c r="E31" s="42" t="s">
        <v>87</v>
      </c>
      <c r="F31" s="42" t="s">
        <v>2</v>
      </c>
      <c r="G31" s="42" t="s">
        <v>3</v>
      </c>
      <c r="H31" s="42" t="s">
        <v>78</v>
      </c>
      <c r="I31" s="43" t="s">
        <v>3</v>
      </c>
    </row>
    <row r="32" spans="1:9" x14ac:dyDescent="0.35">
      <c r="A32" s="38">
        <v>45949.781194895833</v>
      </c>
      <c r="B32" s="39" t="s">
        <v>4</v>
      </c>
      <c r="C32" s="39" t="s">
        <v>46</v>
      </c>
      <c r="D32" s="39" t="s">
        <v>47</v>
      </c>
      <c r="E32" s="39" t="s">
        <v>88</v>
      </c>
      <c r="F32" s="39" t="s">
        <v>2</v>
      </c>
      <c r="G32" s="39" t="s">
        <v>3</v>
      </c>
      <c r="H32" s="39" t="s">
        <v>49</v>
      </c>
      <c r="I32" s="40" t="s">
        <v>3</v>
      </c>
    </row>
    <row r="33" spans="1:9" x14ac:dyDescent="0.35">
      <c r="A33" s="41">
        <v>45949.832216689814</v>
      </c>
      <c r="B33" s="42" t="s">
        <v>1</v>
      </c>
      <c r="C33" s="42" t="s">
        <v>46</v>
      </c>
      <c r="D33" s="42" t="s">
        <v>47</v>
      </c>
      <c r="E33" s="42" t="s">
        <v>89</v>
      </c>
      <c r="F33" s="42" t="s">
        <v>2</v>
      </c>
      <c r="G33" s="42" t="s">
        <v>90</v>
      </c>
      <c r="H33" s="42" t="s">
        <v>49</v>
      </c>
      <c r="I33" s="43" t="s">
        <v>3</v>
      </c>
    </row>
    <row r="34" spans="1:9" x14ac:dyDescent="0.35">
      <c r="A34" s="38">
        <v>45949.850218090272</v>
      </c>
      <c r="B34" s="39" t="s">
        <v>1</v>
      </c>
      <c r="C34" s="39" t="s">
        <v>46</v>
      </c>
      <c r="D34" s="39" t="s">
        <v>47</v>
      </c>
      <c r="E34" s="39" t="s">
        <v>91</v>
      </c>
      <c r="F34" s="39" t="s">
        <v>2</v>
      </c>
      <c r="G34" s="39" t="s">
        <v>3</v>
      </c>
      <c r="H34" s="39" t="s">
        <v>81</v>
      </c>
      <c r="I34" s="40" t="s">
        <v>3</v>
      </c>
    </row>
    <row r="35" spans="1:9" x14ac:dyDescent="0.35">
      <c r="A35" s="41">
        <v>45949.902638113424</v>
      </c>
      <c r="B35" s="42" t="s">
        <v>4</v>
      </c>
      <c r="C35" s="42" t="s">
        <v>46</v>
      </c>
      <c r="D35" s="42" t="s">
        <v>47</v>
      </c>
      <c r="E35" s="42" t="s">
        <v>92</v>
      </c>
      <c r="F35" s="42" t="s">
        <v>2</v>
      </c>
      <c r="G35" s="42" t="s">
        <v>3</v>
      </c>
      <c r="H35" s="42" t="s">
        <v>71</v>
      </c>
      <c r="I35" s="43" t="s">
        <v>3</v>
      </c>
    </row>
    <row r="36" spans="1:9" x14ac:dyDescent="0.35">
      <c r="A36" s="38">
        <v>45950.281011319443</v>
      </c>
      <c r="B36" s="39" t="s">
        <v>1</v>
      </c>
      <c r="C36" s="39" t="s">
        <v>46</v>
      </c>
      <c r="D36" s="39" t="s">
        <v>47</v>
      </c>
      <c r="E36" s="39" t="s">
        <v>93</v>
      </c>
      <c r="F36" s="39" t="s">
        <v>2</v>
      </c>
      <c r="G36" s="39" t="s">
        <v>3</v>
      </c>
      <c r="H36" s="39" t="s">
        <v>49</v>
      </c>
      <c r="I36" s="40" t="s">
        <v>3</v>
      </c>
    </row>
    <row r="37" spans="1:9" x14ac:dyDescent="0.35">
      <c r="A37" s="41">
        <v>45950.363033020833</v>
      </c>
      <c r="B37" s="42" t="s">
        <v>1</v>
      </c>
      <c r="C37" s="42" t="s">
        <v>55</v>
      </c>
      <c r="D37" s="42" t="s">
        <v>53</v>
      </c>
      <c r="E37" s="42" t="s">
        <v>94</v>
      </c>
      <c r="F37" s="42" t="s">
        <v>2</v>
      </c>
      <c r="G37" s="42" t="s">
        <v>2</v>
      </c>
      <c r="H37" s="42" t="s">
        <v>71</v>
      </c>
      <c r="I37" s="43" t="s">
        <v>3</v>
      </c>
    </row>
    <row r="38" spans="1:9" x14ac:dyDescent="0.35">
      <c r="A38" s="38">
        <v>45950.384933599533</v>
      </c>
      <c r="B38" s="39" t="s">
        <v>4</v>
      </c>
      <c r="C38" s="39" t="s">
        <v>46</v>
      </c>
      <c r="D38" s="39" t="s">
        <v>47</v>
      </c>
      <c r="E38" s="39" t="s">
        <v>95</v>
      </c>
      <c r="F38" s="39" t="s">
        <v>3</v>
      </c>
      <c r="G38" s="39" t="s">
        <v>3</v>
      </c>
      <c r="H38" s="39" t="s">
        <v>49</v>
      </c>
      <c r="I38" s="40" t="s">
        <v>3</v>
      </c>
    </row>
    <row r="39" spans="1:9" x14ac:dyDescent="0.35">
      <c r="A39" s="41">
        <v>45950.390474745371</v>
      </c>
      <c r="B39" s="42" t="s">
        <v>1</v>
      </c>
      <c r="C39" s="42" t="s">
        <v>46</v>
      </c>
      <c r="D39" s="42" t="s">
        <v>47</v>
      </c>
      <c r="E39" s="42" t="s">
        <v>96</v>
      </c>
      <c r="F39" s="42" t="s">
        <v>2</v>
      </c>
      <c r="G39" s="42" t="s">
        <v>3</v>
      </c>
      <c r="H39" s="42" t="s">
        <v>49</v>
      </c>
      <c r="I39" s="43" t="s">
        <v>3</v>
      </c>
    </row>
    <row r="40" spans="1:9" x14ac:dyDescent="0.35">
      <c r="A40" s="38">
        <v>45950.42409576389</v>
      </c>
      <c r="B40" s="39" t="s">
        <v>1</v>
      </c>
      <c r="C40" s="39" t="s">
        <v>46</v>
      </c>
      <c r="D40" s="39" t="s">
        <v>47</v>
      </c>
      <c r="E40" s="39" t="s">
        <v>97</v>
      </c>
      <c r="F40" s="39" t="s">
        <v>2</v>
      </c>
      <c r="G40" s="39" t="s">
        <v>2</v>
      </c>
      <c r="H40" s="39" t="s">
        <v>71</v>
      </c>
      <c r="I40" s="40" t="s">
        <v>3</v>
      </c>
    </row>
    <row r="41" spans="1:9" x14ac:dyDescent="0.35">
      <c r="A41" s="41">
        <v>45950.863521435182</v>
      </c>
      <c r="B41" s="42" t="s">
        <v>4</v>
      </c>
      <c r="C41" s="42" t="s">
        <v>46</v>
      </c>
      <c r="D41" s="42" t="s">
        <v>47</v>
      </c>
      <c r="E41" s="42" t="s">
        <v>98</v>
      </c>
      <c r="F41" s="42" t="s">
        <v>2</v>
      </c>
      <c r="G41" s="42" t="s">
        <v>3</v>
      </c>
      <c r="H41" s="42" t="s">
        <v>49</v>
      </c>
      <c r="I41" s="43" t="s">
        <v>3</v>
      </c>
    </row>
    <row r="42" spans="1:9" x14ac:dyDescent="0.35">
      <c r="A42" s="38">
        <v>45951.38673864583</v>
      </c>
      <c r="B42" s="39" t="s">
        <v>4</v>
      </c>
      <c r="C42" s="39" t="s">
        <v>55</v>
      </c>
      <c r="D42" s="39" t="s">
        <v>47</v>
      </c>
      <c r="E42" s="39" t="s">
        <v>99</v>
      </c>
      <c r="F42" s="39" t="s">
        <v>3</v>
      </c>
      <c r="G42" s="39" t="s">
        <v>3</v>
      </c>
      <c r="H42" s="39" t="s">
        <v>49</v>
      </c>
      <c r="I42" s="40" t="s">
        <v>3</v>
      </c>
    </row>
    <row r="43" spans="1:9" x14ac:dyDescent="0.35">
      <c r="A43" s="41">
        <v>45951.403621631944</v>
      </c>
      <c r="B43" s="42" t="s">
        <v>4</v>
      </c>
      <c r="C43" s="42" t="s">
        <v>46</v>
      </c>
      <c r="D43" s="42" t="s">
        <v>47</v>
      </c>
      <c r="E43" s="42" t="s">
        <v>100</v>
      </c>
      <c r="F43" s="42" t="s">
        <v>2</v>
      </c>
      <c r="G43" s="42" t="s">
        <v>2</v>
      </c>
      <c r="H43" s="42" t="s">
        <v>71</v>
      </c>
      <c r="I43" s="43" t="s">
        <v>3</v>
      </c>
    </row>
    <row r="44" spans="1:9" x14ac:dyDescent="0.35">
      <c r="A44" s="38">
        <v>45951.684353125005</v>
      </c>
      <c r="B44" s="39" t="s">
        <v>4</v>
      </c>
      <c r="C44" s="39" t="s">
        <v>55</v>
      </c>
      <c r="D44" s="39" t="s">
        <v>72</v>
      </c>
      <c r="E44" s="39" t="s">
        <v>101</v>
      </c>
      <c r="F44" s="39" t="s">
        <v>3</v>
      </c>
      <c r="G44" s="39" t="s">
        <v>3</v>
      </c>
      <c r="H44" s="39" t="s">
        <v>71</v>
      </c>
      <c r="I44" s="40" t="s">
        <v>3</v>
      </c>
    </row>
    <row r="45" spans="1:9" x14ac:dyDescent="0.35">
      <c r="A45" s="41">
        <v>45951.692030543985</v>
      </c>
      <c r="B45" s="42" t="s">
        <v>4</v>
      </c>
      <c r="C45" s="42" t="s">
        <v>55</v>
      </c>
      <c r="D45" s="42" t="s">
        <v>72</v>
      </c>
      <c r="E45" s="42" t="s">
        <v>101</v>
      </c>
      <c r="F45" s="42" t="s">
        <v>3</v>
      </c>
      <c r="G45" s="42" t="s">
        <v>3</v>
      </c>
      <c r="H45" s="42" t="s">
        <v>71</v>
      </c>
      <c r="I45" s="43" t="s">
        <v>3</v>
      </c>
    </row>
    <row r="46" spans="1:9" x14ac:dyDescent="0.35">
      <c r="A46" s="38">
        <v>45953.028427893514</v>
      </c>
      <c r="B46" s="39" t="s">
        <v>4</v>
      </c>
      <c r="C46" s="39" t="s">
        <v>75</v>
      </c>
      <c r="D46" s="39" t="s">
        <v>72</v>
      </c>
      <c r="E46" s="39" t="s">
        <v>102</v>
      </c>
      <c r="F46" s="39" t="s">
        <v>3</v>
      </c>
      <c r="G46" s="39" t="s">
        <v>3</v>
      </c>
      <c r="H46" s="39" t="s">
        <v>71</v>
      </c>
      <c r="I46" s="40" t="s">
        <v>3</v>
      </c>
    </row>
    <row r="47" spans="1:9" x14ac:dyDescent="0.35">
      <c r="A47" s="44">
        <v>45953.396950347218</v>
      </c>
      <c r="B47" s="45" t="s">
        <v>4</v>
      </c>
      <c r="C47" s="45" t="s">
        <v>55</v>
      </c>
      <c r="D47" s="45" t="s">
        <v>47</v>
      </c>
      <c r="E47" s="45" t="s">
        <v>103</v>
      </c>
      <c r="F47" s="45" t="s">
        <v>3</v>
      </c>
      <c r="G47" s="45" t="s">
        <v>3</v>
      </c>
      <c r="H47" s="45" t="s">
        <v>49</v>
      </c>
      <c r="I47" s="46" t="s">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EA1E6-C4BD-4A2B-98D3-7346E6DD48B7}">
  <dimension ref="A1:M49"/>
  <sheetViews>
    <sheetView topLeftCell="E1" workbookViewId="0">
      <selection activeCell="B2" sqref="B2"/>
    </sheetView>
  </sheetViews>
  <sheetFormatPr defaultColWidth="12.54296875" defaultRowHeight="12.5" x14ac:dyDescent="0.25"/>
  <cols>
    <col min="1" max="1" width="18.81640625" style="1" customWidth="1"/>
    <col min="2" max="2" width="10.1796875" style="1" customWidth="1"/>
    <col min="3" max="3" width="11.90625" style="1" customWidth="1"/>
    <col min="4" max="4" width="13.08984375" style="2" customWidth="1"/>
    <col min="5" max="5" width="16.36328125" style="2" customWidth="1"/>
    <col min="6" max="6" width="12.453125" style="1" customWidth="1"/>
    <col min="7" max="7" width="15.453125" style="1" customWidth="1"/>
    <col min="8" max="8" width="25.90625" style="1" customWidth="1"/>
    <col min="9" max="9" width="16.36328125" style="1" customWidth="1"/>
    <col min="10" max="10" width="17.08984375" style="1" customWidth="1"/>
    <col min="11" max="11" width="16.26953125" style="1" customWidth="1"/>
    <col min="12" max="12" width="21.08984375" style="1" customWidth="1"/>
    <col min="13" max="13" width="14.1796875" style="1" customWidth="1"/>
    <col min="14" max="19" width="18.81640625" style="1" customWidth="1"/>
    <col min="20" max="16384" width="12.54296875" style="1"/>
  </cols>
  <sheetData>
    <row r="1" spans="1:13" ht="13" x14ac:dyDescent="0.25">
      <c r="A1" s="31" t="s">
        <v>0</v>
      </c>
      <c r="B1" s="32" t="s">
        <v>8</v>
      </c>
      <c r="C1" s="32" t="s">
        <v>7</v>
      </c>
      <c r="D1" s="33" t="s">
        <v>6</v>
      </c>
      <c r="E1" s="33" t="s">
        <v>9</v>
      </c>
      <c r="F1" s="32" t="s">
        <v>14</v>
      </c>
      <c r="G1" s="32" t="s">
        <v>37</v>
      </c>
      <c r="H1" s="32" t="s">
        <v>17</v>
      </c>
      <c r="I1" s="32" t="s">
        <v>30</v>
      </c>
      <c r="J1" s="32" t="s">
        <v>31</v>
      </c>
      <c r="K1" s="32" t="s">
        <v>32</v>
      </c>
      <c r="L1" s="32" t="s">
        <v>33</v>
      </c>
      <c r="M1" s="32" t="s">
        <v>34</v>
      </c>
    </row>
    <row r="2" spans="1:13" x14ac:dyDescent="0.25">
      <c r="A2" s="27">
        <v>45949.474548101847</v>
      </c>
      <c r="B2" s="3" t="str">
        <f>UPPER(TEXT(A2,"DDD"))</f>
        <v>SUN</v>
      </c>
      <c r="C2" s="3" t="str">
        <f>UPPER(TEXT(A2,"MMM"))</f>
        <v>OCT</v>
      </c>
      <c r="D2" s="4">
        <v>45949.474548101847</v>
      </c>
      <c r="E2" s="4" t="s">
        <v>15</v>
      </c>
      <c r="F2" s="5" t="s">
        <v>1</v>
      </c>
      <c r="G2" s="5" t="s">
        <v>10</v>
      </c>
      <c r="H2" s="5" t="s">
        <v>20</v>
      </c>
      <c r="I2" s="5" t="s">
        <v>28</v>
      </c>
      <c r="J2" s="5" t="s">
        <v>2</v>
      </c>
      <c r="K2" s="5" t="s">
        <v>3</v>
      </c>
      <c r="L2" s="5" t="s">
        <v>23</v>
      </c>
      <c r="M2" s="5" t="s">
        <v>3</v>
      </c>
    </row>
    <row r="3" spans="1:13" x14ac:dyDescent="0.25">
      <c r="A3" s="28">
        <v>45949.475285335648</v>
      </c>
      <c r="B3" s="6" t="str">
        <f t="shared" ref="B3:B47" si="0">UPPER(TEXT(A3,"DDD"))</f>
        <v>SUN</v>
      </c>
      <c r="C3" s="7" t="str">
        <f t="shared" ref="C3:C47" si="1">UPPER(TEXT(A3,"MMM"))</f>
        <v>OCT</v>
      </c>
      <c r="D3" s="8">
        <v>45949.475285335648</v>
      </c>
      <c r="E3" s="9" t="s">
        <v>15</v>
      </c>
      <c r="F3" s="10" t="s">
        <v>1</v>
      </c>
      <c r="G3" s="11" t="s">
        <v>10</v>
      </c>
      <c r="H3" s="12" t="s">
        <v>20</v>
      </c>
      <c r="I3" s="10" t="s">
        <v>27</v>
      </c>
      <c r="J3" s="10" t="s">
        <v>3</v>
      </c>
      <c r="K3" s="10" t="s">
        <v>3</v>
      </c>
      <c r="L3" s="11" t="s">
        <v>23</v>
      </c>
      <c r="M3" s="10" t="s">
        <v>3</v>
      </c>
    </row>
    <row r="4" spans="1:13" x14ac:dyDescent="0.25">
      <c r="A4" s="29">
        <v>45949.476170196758</v>
      </c>
      <c r="B4" s="13" t="str">
        <f t="shared" si="0"/>
        <v>SUN</v>
      </c>
      <c r="C4" s="13" t="str">
        <f t="shared" si="1"/>
        <v>OCT</v>
      </c>
      <c r="D4" s="14">
        <v>45949.476170196758</v>
      </c>
      <c r="E4" s="15" t="s">
        <v>15</v>
      </c>
      <c r="F4" s="16" t="s">
        <v>1</v>
      </c>
      <c r="G4" s="17" t="s">
        <v>10</v>
      </c>
      <c r="H4" s="17" t="s">
        <v>20</v>
      </c>
      <c r="I4" s="16" t="s">
        <v>27</v>
      </c>
      <c r="J4" s="16" t="s">
        <v>3</v>
      </c>
      <c r="K4" s="16" t="s">
        <v>3</v>
      </c>
      <c r="L4" s="17" t="s">
        <v>23</v>
      </c>
      <c r="M4" s="16" t="s">
        <v>3</v>
      </c>
    </row>
    <row r="5" spans="1:13" x14ac:dyDescent="0.25">
      <c r="A5" s="28">
        <v>45949.476350798606</v>
      </c>
      <c r="B5" s="6" t="str">
        <f t="shared" si="0"/>
        <v>SUN</v>
      </c>
      <c r="C5" s="7" t="str">
        <f t="shared" si="1"/>
        <v>OCT</v>
      </c>
      <c r="D5" s="8">
        <v>45949.476350798606</v>
      </c>
      <c r="E5" s="9" t="s">
        <v>15</v>
      </c>
      <c r="F5" s="10" t="s">
        <v>1</v>
      </c>
      <c r="G5" s="11" t="s">
        <v>11</v>
      </c>
      <c r="H5" s="10" t="s">
        <v>19</v>
      </c>
      <c r="I5" s="10" t="s">
        <v>28</v>
      </c>
      <c r="J5" s="10" t="s">
        <v>3</v>
      </c>
      <c r="K5" s="10" t="s">
        <v>3</v>
      </c>
      <c r="L5" s="11" t="s">
        <v>23</v>
      </c>
      <c r="M5" s="10" t="s">
        <v>3</v>
      </c>
    </row>
    <row r="6" spans="1:13" x14ac:dyDescent="0.25">
      <c r="A6" s="29">
        <v>45949.476949062504</v>
      </c>
      <c r="B6" s="13" t="str">
        <f t="shared" si="0"/>
        <v>SUN</v>
      </c>
      <c r="C6" s="13" t="str">
        <f t="shared" si="1"/>
        <v>OCT</v>
      </c>
      <c r="D6" s="14">
        <v>45949.476949062504</v>
      </c>
      <c r="E6" s="15" t="s">
        <v>15</v>
      </c>
      <c r="F6" s="16" t="s">
        <v>4</v>
      </c>
      <c r="G6" s="17" t="s">
        <v>12</v>
      </c>
      <c r="H6" s="16" t="s">
        <v>20</v>
      </c>
      <c r="I6" s="16" t="s">
        <v>36</v>
      </c>
      <c r="J6" s="16" t="s">
        <v>2</v>
      </c>
      <c r="K6" s="16" t="s">
        <v>2</v>
      </c>
      <c r="L6" s="17" t="s">
        <v>23</v>
      </c>
      <c r="M6" s="16" t="s">
        <v>3</v>
      </c>
    </row>
    <row r="7" spans="1:13" x14ac:dyDescent="0.25">
      <c r="A7" s="28">
        <v>45949.477002546293</v>
      </c>
      <c r="B7" s="6" t="str">
        <f t="shared" si="0"/>
        <v>SUN</v>
      </c>
      <c r="C7" s="7" t="str">
        <f t="shared" si="1"/>
        <v>OCT</v>
      </c>
      <c r="D7" s="8">
        <v>45949.477002546293</v>
      </c>
      <c r="E7" s="9" t="s">
        <v>15</v>
      </c>
      <c r="F7" s="10" t="s">
        <v>1</v>
      </c>
      <c r="G7" s="11" t="s">
        <v>10</v>
      </c>
      <c r="H7" s="10" t="s">
        <v>21</v>
      </c>
      <c r="I7" s="10" t="s">
        <v>27</v>
      </c>
      <c r="J7" s="10" t="s">
        <v>2</v>
      </c>
      <c r="K7" s="10" t="s">
        <v>3</v>
      </c>
      <c r="L7" s="11" t="s">
        <v>23</v>
      </c>
      <c r="M7" s="10" t="s">
        <v>3</v>
      </c>
    </row>
    <row r="8" spans="1:13" x14ac:dyDescent="0.25">
      <c r="A8" s="29">
        <v>45949.47717327546</v>
      </c>
      <c r="B8" s="13" t="str">
        <f t="shared" si="0"/>
        <v>SUN</v>
      </c>
      <c r="C8" s="13" t="str">
        <f t="shared" si="1"/>
        <v>OCT</v>
      </c>
      <c r="D8" s="14">
        <v>45949.47717327546</v>
      </c>
      <c r="E8" s="15" t="s">
        <v>15</v>
      </c>
      <c r="F8" s="16" t="s">
        <v>1</v>
      </c>
      <c r="G8" s="17" t="s">
        <v>10</v>
      </c>
      <c r="H8" s="16" t="s">
        <v>20</v>
      </c>
      <c r="I8" s="16" t="s">
        <v>36</v>
      </c>
      <c r="J8" s="16" t="s">
        <v>3</v>
      </c>
      <c r="K8" s="16" t="s">
        <v>3</v>
      </c>
      <c r="L8" s="17" t="s">
        <v>23</v>
      </c>
      <c r="M8" s="16" t="s">
        <v>3</v>
      </c>
    </row>
    <row r="9" spans="1:13" x14ac:dyDescent="0.25">
      <c r="A9" s="28">
        <v>45949.477482013885</v>
      </c>
      <c r="B9" s="6" t="str">
        <f t="shared" si="0"/>
        <v>SUN</v>
      </c>
      <c r="C9" s="7" t="str">
        <f t="shared" si="1"/>
        <v>OCT</v>
      </c>
      <c r="D9" s="8">
        <v>45949.477482013885</v>
      </c>
      <c r="E9" s="9" t="s">
        <v>15</v>
      </c>
      <c r="F9" s="10" t="s">
        <v>1</v>
      </c>
      <c r="G9" s="11" t="s">
        <v>10</v>
      </c>
      <c r="H9" s="12" t="s">
        <v>20</v>
      </c>
      <c r="I9" s="10" t="s">
        <v>27</v>
      </c>
      <c r="J9" s="10" t="s">
        <v>3</v>
      </c>
      <c r="K9" s="10" t="s">
        <v>3</v>
      </c>
      <c r="L9" s="11" t="s">
        <v>23</v>
      </c>
      <c r="M9" s="10" t="s">
        <v>3</v>
      </c>
    </row>
    <row r="10" spans="1:13" x14ac:dyDescent="0.25">
      <c r="A10" s="29">
        <v>45949.477635208328</v>
      </c>
      <c r="B10" s="13" t="str">
        <f t="shared" si="0"/>
        <v>SUN</v>
      </c>
      <c r="C10" s="13" t="str">
        <f t="shared" si="1"/>
        <v>OCT</v>
      </c>
      <c r="D10" s="14">
        <v>45949.477635208328</v>
      </c>
      <c r="E10" s="15" t="s">
        <v>15</v>
      </c>
      <c r="F10" s="16" t="s">
        <v>4</v>
      </c>
      <c r="G10" s="17" t="s">
        <v>10</v>
      </c>
      <c r="H10" s="17" t="s">
        <v>20</v>
      </c>
      <c r="I10" s="16" t="s">
        <v>36</v>
      </c>
      <c r="J10" s="16" t="s">
        <v>2</v>
      </c>
      <c r="K10" s="16" t="s">
        <v>3</v>
      </c>
      <c r="L10" s="17" t="s">
        <v>23</v>
      </c>
      <c r="M10" s="16" t="s">
        <v>3</v>
      </c>
    </row>
    <row r="11" spans="1:13" x14ac:dyDescent="0.25">
      <c r="A11" s="28">
        <v>45949.477901215279</v>
      </c>
      <c r="B11" s="6" t="str">
        <f t="shared" si="0"/>
        <v>SUN</v>
      </c>
      <c r="C11" s="7" t="str">
        <f t="shared" si="1"/>
        <v>OCT</v>
      </c>
      <c r="D11" s="8">
        <v>45949.477901215279</v>
      </c>
      <c r="E11" s="9" t="s">
        <v>15</v>
      </c>
      <c r="F11" s="10" t="s">
        <v>4</v>
      </c>
      <c r="G11" s="11" t="s">
        <v>10</v>
      </c>
      <c r="H11" s="12" t="s">
        <v>20</v>
      </c>
      <c r="I11" s="10" t="s">
        <v>27</v>
      </c>
      <c r="J11" s="10" t="s">
        <v>3</v>
      </c>
      <c r="K11" s="10" t="s">
        <v>3</v>
      </c>
      <c r="L11" s="11" t="s">
        <v>23</v>
      </c>
      <c r="M11" s="10" t="s">
        <v>3</v>
      </c>
    </row>
    <row r="12" spans="1:13" x14ac:dyDescent="0.25">
      <c r="A12" s="29">
        <v>45949.480240486111</v>
      </c>
      <c r="B12" s="13" t="str">
        <f t="shared" si="0"/>
        <v>SUN</v>
      </c>
      <c r="C12" s="13" t="str">
        <f t="shared" si="1"/>
        <v>OCT</v>
      </c>
      <c r="D12" s="14">
        <v>45949.480240486111</v>
      </c>
      <c r="E12" s="15" t="s">
        <v>15</v>
      </c>
      <c r="F12" s="16" t="s">
        <v>4</v>
      </c>
      <c r="G12" s="17" t="s">
        <v>10</v>
      </c>
      <c r="H12" s="17" t="s">
        <v>20</v>
      </c>
      <c r="I12" s="16" t="s">
        <v>36</v>
      </c>
      <c r="J12" s="16" t="s">
        <v>2</v>
      </c>
      <c r="K12" s="16" t="s">
        <v>2</v>
      </c>
      <c r="L12" s="17" t="s">
        <v>23</v>
      </c>
      <c r="M12" s="16" t="s">
        <v>3</v>
      </c>
    </row>
    <row r="13" spans="1:13" x14ac:dyDescent="0.25">
      <c r="A13" s="28">
        <v>45949.480564884259</v>
      </c>
      <c r="B13" s="6" t="str">
        <f t="shared" si="0"/>
        <v>SUN</v>
      </c>
      <c r="C13" s="7" t="str">
        <f t="shared" si="1"/>
        <v>OCT</v>
      </c>
      <c r="D13" s="8">
        <v>45949.480564884259</v>
      </c>
      <c r="E13" s="9" t="s">
        <v>15</v>
      </c>
      <c r="F13" s="10" t="s">
        <v>1</v>
      </c>
      <c r="G13" s="11" t="s">
        <v>12</v>
      </c>
      <c r="H13" s="10" t="s">
        <v>22</v>
      </c>
      <c r="I13" s="10" t="s">
        <v>27</v>
      </c>
      <c r="J13" s="10" t="s">
        <v>2</v>
      </c>
      <c r="K13" s="10" t="s">
        <v>3</v>
      </c>
      <c r="L13" s="11" t="s">
        <v>23</v>
      </c>
      <c r="M13" s="10" t="s">
        <v>3</v>
      </c>
    </row>
    <row r="14" spans="1:13" x14ac:dyDescent="0.25">
      <c r="A14" s="29">
        <v>45949.481325057874</v>
      </c>
      <c r="B14" s="13" t="str">
        <f t="shared" si="0"/>
        <v>SUN</v>
      </c>
      <c r="C14" s="13" t="str">
        <f t="shared" si="1"/>
        <v>OCT</v>
      </c>
      <c r="D14" s="14">
        <v>45949.481325057874</v>
      </c>
      <c r="E14" s="15" t="s">
        <v>15</v>
      </c>
      <c r="F14" s="16" t="s">
        <v>4</v>
      </c>
      <c r="G14" s="17" t="s">
        <v>10</v>
      </c>
      <c r="H14" s="16" t="s">
        <v>20</v>
      </c>
      <c r="I14" s="16" t="s">
        <v>27</v>
      </c>
      <c r="J14" s="16" t="s">
        <v>2</v>
      </c>
      <c r="K14" s="16" t="s">
        <v>3</v>
      </c>
      <c r="L14" s="17" t="s">
        <v>23</v>
      </c>
      <c r="M14" s="16" t="s">
        <v>3</v>
      </c>
    </row>
    <row r="15" spans="1:13" x14ac:dyDescent="0.25">
      <c r="A15" s="28">
        <v>45949.483161145836</v>
      </c>
      <c r="B15" s="6" t="str">
        <f t="shared" si="0"/>
        <v>SUN</v>
      </c>
      <c r="C15" s="7" t="str">
        <f t="shared" si="1"/>
        <v>OCT</v>
      </c>
      <c r="D15" s="8">
        <v>45949.483161145836</v>
      </c>
      <c r="E15" s="9" t="s">
        <v>15</v>
      </c>
      <c r="F15" s="10" t="s">
        <v>1</v>
      </c>
      <c r="G15" s="11" t="s">
        <v>10</v>
      </c>
      <c r="H15" s="12" t="s">
        <v>20</v>
      </c>
      <c r="I15" s="16" t="s">
        <v>36</v>
      </c>
      <c r="J15" s="10" t="s">
        <v>2</v>
      </c>
      <c r="K15" s="10" t="s">
        <v>3</v>
      </c>
      <c r="L15" s="11" t="s">
        <v>23</v>
      </c>
      <c r="M15" s="10" t="s">
        <v>3</v>
      </c>
    </row>
    <row r="16" spans="1:13" x14ac:dyDescent="0.25">
      <c r="A16" s="29">
        <v>45949.492122523152</v>
      </c>
      <c r="B16" s="13" t="str">
        <f t="shared" si="0"/>
        <v>SUN</v>
      </c>
      <c r="C16" s="13" t="str">
        <f t="shared" si="1"/>
        <v>OCT</v>
      </c>
      <c r="D16" s="14">
        <v>45949.492122523152</v>
      </c>
      <c r="E16" s="15" t="s">
        <v>15</v>
      </c>
      <c r="F16" s="16" t="s">
        <v>4</v>
      </c>
      <c r="G16" s="17" t="s">
        <v>10</v>
      </c>
      <c r="H16" s="17" t="s">
        <v>20</v>
      </c>
      <c r="I16" s="16" t="s">
        <v>104</v>
      </c>
      <c r="J16" s="16" t="s">
        <v>2</v>
      </c>
      <c r="K16" s="16" t="s">
        <v>3</v>
      </c>
      <c r="L16" s="17" t="s">
        <v>23</v>
      </c>
      <c r="M16" s="16" t="s">
        <v>3</v>
      </c>
    </row>
    <row r="17" spans="1:13" x14ac:dyDescent="0.25">
      <c r="A17" s="28">
        <v>45949.494607337961</v>
      </c>
      <c r="B17" s="6" t="str">
        <f t="shared" si="0"/>
        <v>SUN</v>
      </c>
      <c r="C17" s="7" t="str">
        <f t="shared" si="1"/>
        <v>OCT</v>
      </c>
      <c r="D17" s="8">
        <v>45949.494607337961</v>
      </c>
      <c r="E17" s="9" t="s">
        <v>15</v>
      </c>
      <c r="F17" s="10" t="s">
        <v>4</v>
      </c>
      <c r="G17" s="11" t="s">
        <v>10</v>
      </c>
      <c r="H17" s="12" t="s">
        <v>20</v>
      </c>
      <c r="I17" s="10" t="s">
        <v>28</v>
      </c>
      <c r="J17" s="10" t="s">
        <v>3</v>
      </c>
      <c r="K17" s="10" t="s">
        <v>3</v>
      </c>
      <c r="L17" s="11" t="s">
        <v>23</v>
      </c>
      <c r="M17" s="10" t="s">
        <v>3</v>
      </c>
    </row>
    <row r="18" spans="1:13" x14ac:dyDescent="0.25">
      <c r="A18" s="29">
        <v>45949.498029571754</v>
      </c>
      <c r="B18" s="13" t="str">
        <f t="shared" si="0"/>
        <v>SUN</v>
      </c>
      <c r="C18" s="13" t="str">
        <f t="shared" si="1"/>
        <v>OCT</v>
      </c>
      <c r="D18" s="14">
        <v>45949.498029571754</v>
      </c>
      <c r="E18" s="15" t="s">
        <v>15</v>
      </c>
      <c r="F18" s="16" t="s">
        <v>1</v>
      </c>
      <c r="G18" s="17" t="s">
        <v>10</v>
      </c>
      <c r="H18" s="18" t="s">
        <v>19</v>
      </c>
      <c r="I18" s="16" t="s">
        <v>36</v>
      </c>
      <c r="J18" s="16" t="s">
        <v>2</v>
      </c>
      <c r="K18" s="16" t="s">
        <v>3</v>
      </c>
      <c r="L18" s="17" t="s">
        <v>24</v>
      </c>
      <c r="M18" s="16" t="s">
        <v>3</v>
      </c>
    </row>
    <row r="19" spans="1:13" x14ac:dyDescent="0.25">
      <c r="A19" s="28">
        <v>45949.537585717597</v>
      </c>
      <c r="B19" s="6" t="str">
        <f t="shared" si="0"/>
        <v>SUN</v>
      </c>
      <c r="C19" s="7" t="str">
        <f t="shared" si="1"/>
        <v>OCT</v>
      </c>
      <c r="D19" s="8">
        <v>45949.537585717597</v>
      </c>
      <c r="E19" s="9" t="s">
        <v>16</v>
      </c>
      <c r="F19" s="10" t="s">
        <v>1</v>
      </c>
      <c r="G19" s="11" t="s">
        <v>12</v>
      </c>
      <c r="H19" s="10" t="s">
        <v>18</v>
      </c>
      <c r="I19" s="16" t="s">
        <v>36</v>
      </c>
      <c r="J19" s="10" t="s">
        <v>2</v>
      </c>
      <c r="K19" s="10" t="s">
        <v>3</v>
      </c>
      <c r="L19" s="11" t="s">
        <v>23</v>
      </c>
      <c r="M19" s="10" t="s">
        <v>3</v>
      </c>
    </row>
    <row r="20" spans="1:13" x14ac:dyDescent="0.25">
      <c r="A20" s="29">
        <v>45949.561048738426</v>
      </c>
      <c r="B20" s="13" t="str">
        <f t="shared" si="0"/>
        <v>SUN</v>
      </c>
      <c r="C20" s="13" t="str">
        <f t="shared" si="1"/>
        <v>OCT</v>
      </c>
      <c r="D20" s="14">
        <v>45949.561048738426</v>
      </c>
      <c r="E20" s="15" t="s">
        <v>16</v>
      </c>
      <c r="F20" s="16" t="s">
        <v>1</v>
      </c>
      <c r="G20" s="17" t="s">
        <v>12</v>
      </c>
      <c r="H20" s="16" t="s">
        <v>20</v>
      </c>
      <c r="I20" s="16" t="s">
        <v>5</v>
      </c>
      <c r="J20" s="16" t="s">
        <v>3</v>
      </c>
      <c r="K20" s="16" t="s">
        <v>3</v>
      </c>
      <c r="L20" s="17" t="s">
        <v>24</v>
      </c>
      <c r="M20" s="16" t="s">
        <v>3</v>
      </c>
    </row>
    <row r="21" spans="1:13" x14ac:dyDescent="0.25">
      <c r="A21" s="28">
        <v>45949.561929826392</v>
      </c>
      <c r="B21" s="6" t="str">
        <f t="shared" si="0"/>
        <v>SUN</v>
      </c>
      <c r="C21" s="7" t="str">
        <f t="shared" si="1"/>
        <v>OCT</v>
      </c>
      <c r="D21" s="8">
        <v>45949.561929826392</v>
      </c>
      <c r="E21" s="9" t="s">
        <v>16</v>
      </c>
      <c r="F21" s="10" t="s">
        <v>1</v>
      </c>
      <c r="G21" s="11" t="s">
        <v>10</v>
      </c>
      <c r="H21" s="12" t="s">
        <v>20</v>
      </c>
      <c r="I21" s="10" t="s">
        <v>29</v>
      </c>
      <c r="J21" s="10" t="s">
        <v>2</v>
      </c>
      <c r="K21" s="10" t="s">
        <v>3</v>
      </c>
      <c r="L21" s="11" t="s">
        <v>23</v>
      </c>
      <c r="M21" s="10" t="s">
        <v>3</v>
      </c>
    </row>
    <row r="22" spans="1:13" x14ac:dyDescent="0.25">
      <c r="A22" s="29">
        <v>45949.576534340275</v>
      </c>
      <c r="B22" s="13" t="str">
        <f t="shared" si="0"/>
        <v>SUN</v>
      </c>
      <c r="C22" s="13" t="str">
        <f t="shared" si="1"/>
        <v>OCT</v>
      </c>
      <c r="D22" s="14">
        <v>45949.576534340275</v>
      </c>
      <c r="E22" s="15" t="s">
        <v>16</v>
      </c>
      <c r="F22" s="16" t="s">
        <v>4</v>
      </c>
      <c r="G22" s="17" t="s">
        <v>13</v>
      </c>
      <c r="H22" s="18" t="s">
        <v>18</v>
      </c>
      <c r="I22" s="10" t="s">
        <v>29</v>
      </c>
      <c r="J22" s="16" t="s">
        <v>2</v>
      </c>
      <c r="K22" s="16" t="s">
        <v>3</v>
      </c>
      <c r="L22" s="17" t="s">
        <v>23</v>
      </c>
      <c r="M22" s="16" t="s">
        <v>3</v>
      </c>
    </row>
    <row r="23" spans="1:13" x14ac:dyDescent="0.25">
      <c r="A23" s="28">
        <v>45949.577515925921</v>
      </c>
      <c r="B23" s="6" t="str">
        <f t="shared" si="0"/>
        <v>SUN</v>
      </c>
      <c r="C23" s="7" t="str">
        <f t="shared" si="1"/>
        <v>OCT</v>
      </c>
      <c r="D23" s="8">
        <v>45949.577515925921</v>
      </c>
      <c r="E23" s="9" t="s">
        <v>16</v>
      </c>
      <c r="F23" s="10" t="s">
        <v>1</v>
      </c>
      <c r="G23" s="11" t="s">
        <v>10</v>
      </c>
      <c r="H23" s="19" t="s">
        <v>20</v>
      </c>
      <c r="I23" s="10" t="s">
        <v>29</v>
      </c>
      <c r="J23" s="10" t="s">
        <v>2</v>
      </c>
      <c r="K23" s="10" t="s">
        <v>2</v>
      </c>
      <c r="L23" s="10" t="s">
        <v>25</v>
      </c>
      <c r="M23" s="10" t="s">
        <v>3</v>
      </c>
    </row>
    <row r="24" spans="1:13" x14ac:dyDescent="0.25">
      <c r="A24" s="29">
        <v>45949.589921689811</v>
      </c>
      <c r="B24" s="13" t="str">
        <f t="shared" si="0"/>
        <v>SUN</v>
      </c>
      <c r="C24" s="13" t="str">
        <f t="shared" si="1"/>
        <v>OCT</v>
      </c>
      <c r="D24" s="14">
        <v>45949.589921689811</v>
      </c>
      <c r="E24" s="15" t="s">
        <v>16</v>
      </c>
      <c r="F24" s="16" t="s">
        <v>1</v>
      </c>
      <c r="G24" s="17" t="s">
        <v>10</v>
      </c>
      <c r="H24" s="18" t="s">
        <v>21</v>
      </c>
      <c r="I24" s="16" t="s">
        <v>104</v>
      </c>
      <c r="J24" s="16" t="s">
        <v>2</v>
      </c>
      <c r="K24" s="16" t="s">
        <v>2</v>
      </c>
      <c r="L24" s="18" t="s">
        <v>25</v>
      </c>
      <c r="M24" s="18" t="s">
        <v>3</v>
      </c>
    </row>
    <row r="25" spans="1:13" x14ac:dyDescent="0.25">
      <c r="A25" s="28">
        <v>45949.600627442131</v>
      </c>
      <c r="B25" s="6" t="str">
        <f t="shared" si="0"/>
        <v>SUN</v>
      </c>
      <c r="C25" s="7" t="str">
        <f t="shared" si="1"/>
        <v>OCT</v>
      </c>
      <c r="D25" s="8">
        <v>45949.600627442131</v>
      </c>
      <c r="E25" s="9" t="s">
        <v>16</v>
      </c>
      <c r="F25" s="10" t="s">
        <v>4</v>
      </c>
      <c r="G25" s="11" t="s">
        <v>10</v>
      </c>
      <c r="H25" s="19" t="s">
        <v>20</v>
      </c>
      <c r="I25" s="10" t="s">
        <v>28</v>
      </c>
      <c r="J25" s="10" t="s">
        <v>2</v>
      </c>
      <c r="K25" s="10" t="s">
        <v>2</v>
      </c>
      <c r="L25" s="10" t="s">
        <v>26</v>
      </c>
      <c r="M25" s="10" t="s">
        <v>3</v>
      </c>
    </row>
    <row r="26" spans="1:13" x14ac:dyDescent="0.25">
      <c r="A26" s="29">
        <v>45949.601240520831</v>
      </c>
      <c r="B26" s="13" t="str">
        <f t="shared" si="0"/>
        <v>SUN</v>
      </c>
      <c r="C26" s="13" t="str">
        <f t="shared" si="1"/>
        <v>OCT</v>
      </c>
      <c r="D26" s="14">
        <v>45949.601240520831</v>
      </c>
      <c r="E26" s="15" t="s">
        <v>16</v>
      </c>
      <c r="F26" s="16" t="s">
        <v>1</v>
      </c>
      <c r="G26" s="17" t="s">
        <v>12</v>
      </c>
      <c r="H26" s="17" t="s">
        <v>20</v>
      </c>
      <c r="I26" s="16" t="s">
        <v>28</v>
      </c>
      <c r="J26" s="16" t="s">
        <v>2</v>
      </c>
      <c r="K26" s="16" t="s">
        <v>2</v>
      </c>
      <c r="L26" s="16" t="s">
        <v>23</v>
      </c>
      <c r="M26" s="16" t="s">
        <v>3</v>
      </c>
    </row>
    <row r="27" spans="1:13" x14ac:dyDescent="0.25">
      <c r="A27" s="28">
        <v>45949.602529768519</v>
      </c>
      <c r="B27" s="6" t="str">
        <f t="shared" si="0"/>
        <v>SUN</v>
      </c>
      <c r="C27" s="7" t="str">
        <f t="shared" si="1"/>
        <v>OCT</v>
      </c>
      <c r="D27" s="8">
        <v>45949.602529768519</v>
      </c>
      <c r="E27" s="9" t="s">
        <v>16</v>
      </c>
      <c r="F27" s="10" t="s">
        <v>1</v>
      </c>
      <c r="G27" s="11" t="s">
        <v>12</v>
      </c>
      <c r="H27" s="12" t="s">
        <v>20</v>
      </c>
      <c r="I27" s="10" t="s">
        <v>28</v>
      </c>
      <c r="J27" s="10" t="s">
        <v>2</v>
      </c>
      <c r="K27" s="10" t="s">
        <v>2</v>
      </c>
      <c r="L27" s="11" t="s">
        <v>23</v>
      </c>
      <c r="M27" s="10" t="s">
        <v>3</v>
      </c>
    </row>
    <row r="28" spans="1:13" x14ac:dyDescent="0.25">
      <c r="A28" s="29">
        <v>45949.646145243052</v>
      </c>
      <c r="B28" s="13" t="str">
        <f t="shared" si="0"/>
        <v>SUN</v>
      </c>
      <c r="C28" s="13" t="str">
        <f t="shared" si="1"/>
        <v>OCT</v>
      </c>
      <c r="D28" s="14">
        <v>45949.646145243052</v>
      </c>
      <c r="E28" s="15" t="s">
        <v>16</v>
      </c>
      <c r="F28" s="16" t="s">
        <v>4</v>
      </c>
      <c r="G28" s="17" t="s">
        <v>12</v>
      </c>
      <c r="H28" s="17" t="s">
        <v>20</v>
      </c>
      <c r="I28" s="16" t="s">
        <v>27</v>
      </c>
      <c r="J28" s="16" t="s">
        <v>3</v>
      </c>
      <c r="K28" s="16" t="s">
        <v>3</v>
      </c>
      <c r="L28" s="17" t="s">
        <v>23</v>
      </c>
      <c r="M28" s="16" t="s">
        <v>3</v>
      </c>
    </row>
    <row r="29" spans="1:13" x14ac:dyDescent="0.25">
      <c r="A29" s="28">
        <v>45949.673704699075</v>
      </c>
      <c r="B29" s="6" t="str">
        <f t="shared" si="0"/>
        <v>SUN</v>
      </c>
      <c r="C29" s="7" t="str">
        <f t="shared" si="1"/>
        <v>OCT</v>
      </c>
      <c r="D29" s="8">
        <v>45949.673704699075</v>
      </c>
      <c r="E29" s="9" t="s">
        <v>16</v>
      </c>
      <c r="F29" s="10" t="s">
        <v>4</v>
      </c>
      <c r="G29" s="11" t="s">
        <v>10</v>
      </c>
      <c r="H29" s="12" t="s">
        <v>20</v>
      </c>
      <c r="I29" s="10" t="s">
        <v>27</v>
      </c>
      <c r="J29" s="10" t="s">
        <v>3</v>
      </c>
      <c r="K29" s="10" t="s">
        <v>3</v>
      </c>
      <c r="L29" s="11" t="s">
        <v>23</v>
      </c>
      <c r="M29" s="10" t="s">
        <v>3</v>
      </c>
    </row>
    <row r="30" spans="1:13" x14ac:dyDescent="0.25">
      <c r="A30" s="29">
        <v>45949.737167627318</v>
      </c>
      <c r="B30" s="13" t="str">
        <f t="shared" si="0"/>
        <v>SUN</v>
      </c>
      <c r="C30" s="13" t="str">
        <f t="shared" si="1"/>
        <v>OCT</v>
      </c>
      <c r="D30" s="14">
        <v>45949.737167627318</v>
      </c>
      <c r="E30" s="15" t="s">
        <v>16</v>
      </c>
      <c r="F30" s="16" t="s">
        <v>1</v>
      </c>
      <c r="G30" s="17" t="s">
        <v>10</v>
      </c>
      <c r="H30" s="18" t="s">
        <v>19</v>
      </c>
      <c r="I30" s="16" t="s">
        <v>36</v>
      </c>
      <c r="J30" s="16" t="s">
        <v>3</v>
      </c>
      <c r="K30" s="16" t="s">
        <v>3</v>
      </c>
      <c r="L30" s="17" t="s">
        <v>23</v>
      </c>
      <c r="M30" s="16" t="s">
        <v>3</v>
      </c>
    </row>
    <row r="31" spans="1:13" x14ac:dyDescent="0.25">
      <c r="A31" s="28">
        <v>45949.755115856482</v>
      </c>
      <c r="B31" s="6" t="str">
        <f t="shared" si="0"/>
        <v>SUN</v>
      </c>
      <c r="C31" s="7" t="str">
        <f t="shared" si="1"/>
        <v>OCT</v>
      </c>
      <c r="D31" s="8">
        <v>45949.755115856482</v>
      </c>
      <c r="E31" s="9" t="s">
        <v>16</v>
      </c>
      <c r="F31" s="10" t="s">
        <v>1</v>
      </c>
      <c r="G31" s="11" t="s">
        <v>12</v>
      </c>
      <c r="H31" s="19" t="s">
        <v>20</v>
      </c>
      <c r="I31" s="10" t="s">
        <v>28</v>
      </c>
      <c r="J31" s="10" t="s">
        <v>2</v>
      </c>
      <c r="K31" s="10" t="s">
        <v>3</v>
      </c>
      <c r="L31" s="10" t="s">
        <v>25</v>
      </c>
      <c r="M31" s="10" t="s">
        <v>3</v>
      </c>
    </row>
    <row r="32" spans="1:13" x14ac:dyDescent="0.25">
      <c r="A32" s="29">
        <v>45949.781194895833</v>
      </c>
      <c r="B32" s="13" t="str">
        <f t="shared" si="0"/>
        <v>SUN</v>
      </c>
      <c r="C32" s="13" t="str">
        <f t="shared" si="1"/>
        <v>OCT</v>
      </c>
      <c r="D32" s="14">
        <v>45949.781194895833</v>
      </c>
      <c r="E32" s="15" t="s">
        <v>16</v>
      </c>
      <c r="F32" s="16" t="s">
        <v>4</v>
      </c>
      <c r="G32" s="17" t="s">
        <v>10</v>
      </c>
      <c r="H32" s="17" t="s">
        <v>20</v>
      </c>
      <c r="I32" s="16" t="s">
        <v>36</v>
      </c>
      <c r="J32" s="16" t="s">
        <v>2</v>
      </c>
      <c r="K32" s="16" t="s">
        <v>3</v>
      </c>
      <c r="L32" s="16" t="s">
        <v>23</v>
      </c>
      <c r="M32" s="16" t="s">
        <v>3</v>
      </c>
    </row>
    <row r="33" spans="1:13" x14ac:dyDescent="0.25">
      <c r="A33" s="28">
        <v>45949.832216689814</v>
      </c>
      <c r="B33" s="6" t="str">
        <f t="shared" si="0"/>
        <v>SUN</v>
      </c>
      <c r="C33" s="7" t="str">
        <f t="shared" si="1"/>
        <v>OCT</v>
      </c>
      <c r="D33" s="8">
        <v>45949.832216689814</v>
      </c>
      <c r="E33" s="9" t="s">
        <v>16</v>
      </c>
      <c r="F33" s="10" t="s">
        <v>1</v>
      </c>
      <c r="G33" s="11" t="s">
        <v>10</v>
      </c>
      <c r="H33" s="12" t="s">
        <v>20</v>
      </c>
      <c r="I33" s="16" t="s">
        <v>36</v>
      </c>
      <c r="J33" s="10" t="s">
        <v>2</v>
      </c>
      <c r="K33" s="10" t="s">
        <v>5</v>
      </c>
      <c r="L33" s="11" t="s">
        <v>23</v>
      </c>
      <c r="M33" s="10" t="s">
        <v>3</v>
      </c>
    </row>
    <row r="34" spans="1:13" x14ac:dyDescent="0.25">
      <c r="A34" s="29">
        <v>45949.850218090272</v>
      </c>
      <c r="B34" s="13" t="str">
        <f t="shared" si="0"/>
        <v>SUN</v>
      </c>
      <c r="C34" s="13" t="str">
        <f t="shared" si="1"/>
        <v>OCT</v>
      </c>
      <c r="D34" s="14">
        <v>45949.850218090272</v>
      </c>
      <c r="E34" s="15" t="s">
        <v>16</v>
      </c>
      <c r="F34" s="16" t="s">
        <v>1</v>
      </c>
      <c r="G34" s="17" t="s">
        <v>10</v>
      </c>
      <c r="H34" s="17" t="s">
        <v>20</v>
      </c>
      <c r="I34" s="16" t="s">
        <v>29</v>
      </c>
      <c r="J34" s="16" t="s">
        <v>2</v>
      </c>
      <c r="K34" s="16" t="s">
        <v>3</v>
      </c>
      <c r="L34" s="18" t="s">
        <v>26</v>
      </c>
      <c r="M34" s="18" t="s">
        <v>3</v>
      </c>
    </row>
    <row r="35" spans="1:13" x14ac:dyDescent="0.25">
      <c r="A35" s="28">
        <v>45949.902638113424</v>
      </c>
      <c r="B35" s="6" t="str">
        <f t="shared" si="0"/>
        <v>SUN</v>
      </c>
      <c r="C35" s="7" t="str">
        <f t="shared" si="1"/>
        <v>OCT</v>
      </c>
      <c r="D35" s="8">
        <v>45949.902638113424</v>
      </c>
      <c r="E35" s="9" t="s">
        <v>16</v>
      </c>
      <c r="F35" s="10" t="s">
        <v>4</v>
      </c>
      <c r="G35" s="11" t="s">
        <v>10</v>
      </c>
      <c r="H35" s="12" t="s">
        <v>20</v>
      </c>
      <c r="I35" s="10" t="s">
        <v>29</v>
      </c>
      <c r="J35" s="10" t="s">
        <v>2</v>
      </c>
      <c r="K35" s="10" t="s">
        <v>3</v>
      </c>
      <c r="L35" s="10" t="s">
        <v>24</v>
      </c>
      <c r="M35" s="10" t="s">
        <v>3</v>
      </c>
    </row>
    <row r="36" spans="1:13" x14ac:dyDescent="0.25">
      <c r="A36" s="29">
        <v>45950.281011319443</v>
      </c>
      <c r="B36" s="13" t="str">
        <f t="shared" si="0"/>
        <v>MON</v>
      </c>
      <c r="C36" s="13" t="str">
        <f t="shared" si="1"/>
        <v>OCT</v>
      </c>
      <c r="D36" s="14">
        <v>45950.281011319443</v>
      </c>
      <c r="E36" s="15" t="s">
        <v>15</v>
      </c>
      <c r="F36" s="16" t="s">
        <v>1</v>
      </c>
      <c r="G36" s="17" t="s">
        <v>10</v>
      </c>
      <c r="H36" s="17" t="s">
        <v>20</v>
      </c>
      <c r="I36" s="16" t="s">
        <v>36</v>
      </c>
      <c r="J36" s="16" t="s">
        <v>2</v>
      </c>
      <c r="K36" s="16" t="s">
        <v>3</v>
      </c>
      <c r="L36" s="17" t="s">
        <v>23</v>
      </c>
      <c r="M36" s="16" t="s">
        <v>3</v>
      </c>
    </row>
    <row r="37" spans="1:13" x14ac:dyDescent="0.25">
      <c r="A37" s="28">
        <v>45950.363033020833</v>
      </c>
      <c r="B37" s="6" t="str">
        <f t="shared" si="0"/>
        <v>MON</v>
      </c>
      <c r="C37" s="7" t="str">
        <f t="shared" si="1"/>
        <v>OCT</v>
      </c>
      <c r="D37" s="8">
        <v>45950.363033020833</v>
      </c>
      <c r="E37" s="9" t="s">
        <v>15</v>
      </c>
      <c r="F37" s="10" t="s">
        <v>1</v>
      </c>
      <c r="G37" s="11" t="s">
        <v>12</v>
      </c>
      <c r="H37" s="10" t="s">
        <v>19</v>
      </c>
      <c r="I37" s="10" t="s">
        <v>28</v>
      </c>
      <c r="J37" s="10" t="s">
        <v>2</v>
      </c>
      <c r="K37" s="10" t="s">
        <v>2</v>
      </c>
      <c r="L37" s="11" t="s">
        <v>24</v>
      </c>
      <c r="M37" s="10" t="s">
        <v>3</v>
      </c>
    </row>
    <row r="38" spans="1:13" x14ac:dyDescent="0.25">
      <c r="A38" s="29">
        <v>45950.384933599533</v>
      </c>
      <c r="B38" s="13" t="str">
        <f t="shared" si="0"/>
        <v>MON</v>
      </c>
      <c r="C38" s="13" t="str">
        <f t="shared" si="1"/>
        <v>OCT</v>
      </c>
      <c r="D38" s="14">
        <v>45950.384933599533</v>
      </c>
      <c r="E38" s="15" t="s">
        <v>15</v>
      </c>
      <c r="F38" s="16" t="s">
        <v>4</v>
      </c>
      <c r="G38" s="17" t="s">
        <v>10</v>
      </c>
      <c r="H38" s="16" t="s">
        <v>20</v>
      </c>
      <c r="I38" s="10" t="s">
        <v>29</v>
      </c>
      <c r="J38" s="16" t="s">
        <v>3</v>
      </c>
      <c r="K38" s="16" t="s">
        <v>3</v>
      </c>
      <c r="L38" s="17" t="s">
        <v>23</v>
      </c>
      <c r="M38" s="16" t="s">
        <v>3</v>
      </c>
    </row>
    <row r="39" spans="1:13" x14ac:dyDescent="0.25">
      <c r="A39" s="28">
        <v>45950.390474745371</v>
      </c>
      <c r="B39" s="6" t="str">
        <f t="shared" si="0"/>
        <v>MON</v>
      </c>
      <c r="C39" s="7" t="str">
        <f t="shared" si="1"/>
        <v>OCT</v>
      </c>
      <c r="D39" s="8">
        <v>45950.390474745371</v>
      </c>
      <c r="E39" s="9" t="s">
        <v>15</v>
      </c>
      <c r="F39" s="10" t="s">
        <v>1</v>
      </c>
      <c r="G39" s="11" t="s">
        <v>10</v>
      </c>
      <c r="H39" s="12" t="s">
        <v>20</v>
      </c>
      <c r="I39" s="10" t="s">
        <v>27</v>
      </c>
      <c r="J39" s="10" t="s">
        <v>2</v>
      </c>
      <c r="K39" s="10" t="s">
        <v>3</v>
      </c>
      <c r="L39" s="11" t="s">
        <v>23</v>
      </c>
      <c r="M39" s="10" t="s">
        <v>3</v>
      </c>
    </row>
    <row r="40" spans="1:13" x14ac:dyDescent="0.25">
      <c r="A40" s="29">
        <v>45950.42409576389</v>
      </c>
      <c r="B40" s="13" t="str">
        <f t="shared" si="0"/>
        <v>MON</v>
      </c>
      <c r="C40" s="13" t="str">
        <f t="shared" si="1"/>
        <v>OCT</v>
      </c>
      <c r="D40" s="14">
        <v>45950.42409576389</v>
      </c>
      <c r="E40" s="15" t="s">
        <v>15</v>
      </c>
      <c r="F40" s="16" t="s">
        <v>1</v>
      </c>
      <c r="G40" s="17" t="s">
        <v>10</v>
      </c>
      <c r="H40" s="17" t="s">
        <v>20</v>
      </c>
      <c r="I40" s="16" t="s">
        <v>36</v>
      </c>
      <c r="J40" s="16" t="s">
        <v>2</v>
      </c>
      <c r="K40" s="16" t="s">
        <v>2</v>
      </c>
      <c r="L40" s="17" t="s">
        <v>24</v>
      </c>
      <c r="M40" s="16" t="s">
        <v>3</v>
      </c>
    </row>
    <row r="41" spans="1:13" x14ac:dyDescent="0.25">
      <c r="A41" s="28">
        <v>45950.863521435182</v>
      </c>
      <c r="B41" s="6" t="str">
        <f t="shared" si="0"/>
        <v>MON</v>
      </c>
      <c r="C41" s="7" t="str">
        <f t="shared" si="1"/>
        <v>OCT</v>
      </c>
      <c r="D41" s="8">
        <v>45950.863521435182</v>
      </c>
      <c r="E41" s="9" t="s">
        <v>16</v>
      </c>
      <c r="F41" s="10" t="s">
        <v>4</v>
      </c>
      <c r="G41" s="11" t="s">
        <v>10</v>
      </c>
      <c r="H41" s="12" t="s">
        <v>20</v>
      </c>
      <c r="I41" s="16" t="s">
        <v>36</v>
      </c>
      <c r="J41" s="10" t="s">
        <v>2</v>
      </c>
      <c r="K41" s="10" t="s">
        <v>3</v>
      </c>
      <c r="L41" s="11" t="s">
        <v>23</v>
      </c>
      <c r="M41" s="10" t="s">
        <v>3</v>
      </c>
    </row>
    <row r="42" spans="1:13" x14ac:dyDescent="0.25">
      <c r="A42" s="29">
        <v>45951.38673864583</v>
      </c>
      <c r="B42" s="13" t="str">
        <f t="shared" si="0"/>
        <v>TUE</v>
      </c>
      <c r="C42" s="13" t="str">
        <f t="shared" si="1"/>
        <v>OCT</v>
      </c>
      <c r="D42" s="14">
        <v>45951.38673864583</v>
      </c>
      <c r="E42" s="15" t="s">
        <v>15</v>
      </c>
      <c r="F42" s="16" t="s">
        <v>4</v>
      </c>
      <c r="G42" s="17" t="s">
        <v>12</v>
      </c>
      <c r="H42" s="17" t="s">
        <v>20</v>
      </c>
      <c r="I42" s="16" t="s">
        <v>104</v>
      </c>
      <c r="J42" s="16" t="s">
        <v>3</v>
      </c>
      <c r="K42" s="16" t="s">
        <v>3</v>
      </c>
      <c r="L42" s="17" t="s">
        <v>23</v>
      </c>
      <c r="M42" s="16" t="s">
        <v>3</v>
      </c>
    </row>
    <row r="43" spans="1:13" x14ac:dyDescent="0.25">
      <c r="A43" s="28">
        <v>45951.403621631944</v>
      </c>
      <c r="B43" s="6" t="str">
        <f t="shared" si="0"/>
        <v>TUE</v>
      </c>
      <c r="C43" s="7" t="str">
        <f t="shared" si="1"/>
        <v>OCT</v>
      </c>
      <c r="D43" s="8">
        <v>45951.403621631944</v>
      </c>
      <c r="E43" s="9" t="s">
        <v>15</v>
      </c>
      <c r="F43" s="10" t="s">
        <v>4</v>
      </c>
      <c r="G43" s="11" t="s">
        <v>10</v>
      </c>
      <c r="H43" s="12" t="s">
        <v>20</v>
      </c>
      <c r="I43" s="10" t="s">
        <v>27</v>
      </c>
      <c r="J43" s="10" t="s">
        <v>2</v>
      </c>
      <c r="K43" s="10" t="s">
        <v>2</v>
      </c>
      <c r="L43" s="11" t="s">
        <v>24</v>
      </c>
      <c r="M43" s="10" t="s">
        <v>3</v>
      </c>
    </row>
    <row r="44" spans="1:13" x14ac:dyDescent="0.25">
      <c r="A44" s="29">
        <v>45951.684353125005</v>
      </c>
      <c r="B44" s="13" t="str">
        <f t="shared" si="0"/>
        <v>TUE</v>
      </c>
      <c r="C44" s="13" t="str">
        <f t="shared" si="1"/>
        <v>OCT</v>
      </c>
      <c r="D44" s="14">
        <v>45951.684353125005</v>
      </c>
      <c r="E44" s="15" t="s">
        <v>16</v>
      </c>
      <c r="F44" s="16" t="s">
        <v>4</v>
      </c>
      <c r="G44" s="17" t="s">
        <v>12</v>
      </c>
      <c r="H44" s="18" t="s">
        <v>18</v>
      </c>
      <c r="I44" s="16" t="s">
        <v>36</v>
      </c>
      <c r="J44" s="16" t="s">
        <v>3</v>
      </c>
      <c r="K44" s="16" t="s">
        <v>3</v>
      </c>
      <c r="L44" s="17" t="s">
        <v>24</v>
      </c>
      <c r="M44" s="16" t="s">
        <v>3</v>
      </c>
    </row>
    <row r="45" spans="1:13" x14ac:dyDescent="0.25">
      <c r="A45" s="28">
        <v>45951.692030543985</v>
      </c>
      <c r="B45" s="6" t="str">
        <f t="shared" si="0"/>
        <v>TUE</v>
      </c>
      <c r="C45" s="7" t="str">
        <f t="shared" si="1"/>
        <v>OCT</v>
      </c>
      <c r="D45" s="8">
        <v>45951.692030543985</v>
      </c>
      <c r="E45" s="9" t="s">
        <v>16</v>
      </c>
      <c r="F45" s="10" t="s">
        <v>4</v>
      </c>
      <c r="G45" s="11" t="s">
        <v>12</v>
      </c>
      <c r="H45" s="10" t="s">
        <v>18</v>
      </c>
      <c r="I45" s="16" t="s">
        <v>36</v>
      </c>
      <c r="J45" s="10" t="s">
        <v>3</v>
      </c>
      <c r="K45" s="10" t="s">
        <v>3</v>
      </c>
      <c r="L45" s="11" t="s">
        <v>24</v>
      </c>
      <c r="M45" s="10" t="s">
        <v>3</v>
      </c>
    </row>
    <row r="46" spans="1:13" x14ac:dyDescent="0.25">
      <c r="A46" s="29">
        <v>45953.028427893514</v>
      </c>
      <c r="B46" s="13" t="str">
        <f t="shared" si="0"/>
        <v>THU</v>
      </c>
      <c r="C46" s="13" t="str">
        <f t="shared" si="1"/>
        <v>OCT</v>
      </c>
      <c r="D46" s="14">
        <v>45953.028427893514</v>
      </c>
      <c r="E46" s="15" t="s">
        <v>15</v>
      </c>
      <c r="F46" s="16" t="s">
        <v>4</v>
      </c>
      <c r="G46" s="17" t="s">
        <v>13</v>
      </c>
      <c r="H46" s="18" t="s">
        <v>18</v>
      </c>
      <c r="I46" s="16" t="s">
        <v>36</v>
      </c>
      <c r="J46" s="16" t="s">
        <v>3</v>
      </c>
      <c r="K46" s="16" t="s">
        <v>3</v>
      </c>
      <c r="L46" s="17" t="s">
        <v>24</v>
      </c>
      <c r="M46" s="16" t="s">
        <v>3</v>
      </c>
    </row>
    <row r="47" spans="1:13" x14ac:dyDescent="0.25">
      <c r="A47" s="30">
        <v>45953.396950347218</v>
      </c>
      <c r="B47" s="20" t="str">
        <f t="shared" si="0"/>
        <v>THU</v>
      </c>
      <c r="C47" s="21" t="str">
        <f t="shared" si="1"/>
        <v>OCT</v>
      </c>
      <c r="D47" s="22">
        <v>45953.396950347218</v>
      </c>
      <c r="E47" s="23" t="s">
        <v>15</v>
      </c>
      <c r="F47" s="24" t="s">
        <v>4</v>
      </c>
      <c r="G47" s="25" t="s">
        <v>12</v>
      </c>
      <c r="H47" s="26" t="s">
        <v>20</v>
      </c>
      <c r="I47" s="24" t="s">
        <v>28</v>
      </c>
      <c r="J47" s="24" t="s">
        <v>3</v>
      </c>
      <c r="K47" s="24" t="s">
        <v>3</v>
      </c>
      <c r="L47" s="34" t="s">
        <v>23</v>
      </c>
      <c r="M47" s="24" t="s">
        <v>3</v>
      </c>
    </row>
    <row r="49" spans="11:11" x14ac:dyDescent="0.25">
      <c r="K49" s="1" t="s">
        <v>35</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6CF2-A9F6-4C0A-A966-6ABD114F9E58}">
  <dimension ref="A1:H41"/>
  <sheetViews>
    <sheetView workbookViewId="0">
      <selection activeCell="A10" sqref="A10"/>
    </sheetView>
  </sheetViews>
  <sheetFormatPr defaultRowHeight="14.5" x14ac:dyDescent="0.35"/>
  <cols>
    <col min="1" max="2" width="11.7265625" bestFit="1" customWidth="1"/>
    <col min="4" max="4" width="13.54296875" bestFit="1" customWidth="1"/>
    <col min="5" max="5" width="16.7265625" bestFit="1" customWidth="1"/>
    <col min="7" max="7" width="12.36328125" bestFit="1" customWidth="1"/>
    <col min="8" max="8" width="23.08984375" bestFit="1" customWidth="1"/>
  </cols>
  <sheetData>
    <row r="1" spans="1:8" x14ac:dyDescent="0.35">
      <c r="A1" s="48" t="s">
        <v>105</v>
      </c>
      <c r="B1" t="s">
        <v>117</v>
      </c>
    </row>
    <row r="2" spans="1:8" x14ac:dyDescent="0.35">
      <c r="A2" s="49" t="s">
        <v>4</v>
      </c>
      <c r="B2" s="51">
        <v>0.45652173913043476</v>
      </c>
      <c r="D2" s="48" t="s">
        <v>105</v>
      </c>
      <c r="E2" t="s">
        <v>111</v>
      </c>
      <c r="G2" s="48" t="s">
        <v>105</v>
      </c>
      <c r="H2" t="s">
        <v>114</v>
      </c>
    </row>
    <row r="3" spans="1:8" x14ac:dyDescent="0.35">
      <c r="A3" s="49" t="s">
        <v>1</v>
      </c>
      <c r="B3" s="51">
        <v>0.54347826086956519</v>
      </c>
      <c r="D3" s="49" t="s">
        <v>107</v>
      </c>
      <c r="E3" s="51">
        <v>0.13043478260869565</v>
      </c>
      <c r="G3" s="49" t="s">
        <v>22</v>
      </c>
      <c r="H3" s="51">
        <v>2.1739130434782608E-2</v>
      </c>
    </row>
    <row r="4" spans="1:8" x14ac:dyDescent="0.35">
      <c r="D4" s="49" t="s">
        <v>108</v>
      </c>
      <c r="E4" s="51">
        <v>8.6956521739130432E-2</v>
      </c>
      <c r="G4" s="49" t="s">
        <v>21</v>
      </c>
      <c r="H4" s="51">
        <v>4.3478260869565216E-2</v>
      </c>
    </row>
    <row r="5" spans="1:8" x14ac:dyDescent="0.35">
      <c r="D5" s="49" t="s">
        <v>109</v>
      </c>
      <c r="E5" s="51">
        <v>4.3478260869565216E-2</v>
      </c>
      <c r="G5" s="49" t="s">
        <v>19</v>
      </c>
      <c r="H5" s="51">
        <v>8.6956521739130432E-2</v>
      </c>
    </row>
    <row r="6" spans="1:8" x14ac:dyDescent="0.35">
      <c r="D6" s="49" t="s">
        <v>110</v>
      </c>
      <c r="E6" s="51">
        <v>0.73913043478260865</v>
      </c>
      <c r="G6" s="49" t="s">
        <v>18</v>
      </c>
      <c r="H6" s="51">
        <v>0.10869565217391304</v>
      </c>
    </row>
    <row r="7" spans="1:8" x14ac:dyDescent="0.35">
      <c r="D7" s="49" t="s">
        <v>106</v>
      </c>
      <c r="E7" s="50">
        <v>1</v>
      </c>
      <c r="G7" s="49" t="s">
        <v>20</v>
      </c>
      <c r="H7" s="51">
        <v>0.73913043478260865</v>
      </c>
    </row>
    <row r="8" spans="1:8" x14ac:dyDescent="0.35">
      <c r="G8" s="49" t="s">
        <v>106</v>
      </c>
      <c r="H8" s="50">
        <v>1</v>
      </c>
    </row>
    <row r="10" spans="1:8" x14ac:dyDescent="0.35">
      <c r="A10" t="s">
        <v>117</v>
      </c>
      <c r="D10" s="48" t="s">
        <v>105</v>
      </c>
      <c r="E10" t="s">
        <v>112</v>
      </c>
    </row>
    <row r="11" spans="1:8" x14ac:dyDescent="0.35">
      <c r="A11">
        <v>46</v>
      </c>
      <c r="D11" s="49" t="s">
        <v>15</v>
      </c>
      <c r="E11" s="51">
        <v>0.56521739130434778</v>
      </c>
      <c r="G11" s="48" t="s">
        <v>105</v>
      </c>
      <c r="H11" t="s">
        <v>115</v>
      </c>
    </row>
    <row r="12" spans="1:8" x14ac:dyDescent="0.35">
      <c r="D12" s="49" t="s">
        <v>16</v>
      </c>
      <c r="E12" s="51">
        <v>0.43478260869565216</v>
      </c>
      <c r="G12" s="49" t="s">
        <v>5</v>
      </c>
      <c r="H12" s="51">
        <v>2.1739130434782608E-2</v>
      </c>
    </row>
    <row r="13" spans="1:8" x14ac:dyDescent="0.35">
      <c r="D13" s="49" t="s">
        <v>106</v>
      </c>
      <c r="E13" s="50">
        <v>1</v>
      </c>
      <c r="G13" s="49" t="s">
        <v>104</v>
      </c>
      <c r="H13" s="51">
        <v>6.5217391304347824E-2</v>
      </c>
    </row>
    <row r="14" spans="1:8" x14ac:dyDescent="0.35">
      <c r="G14" s="49" t="s">
        <v>29</v>
      </c>
      <c r="H14" s="51">
        <v>0.13043478260869565</v>
      </c>
    </row>
    <row r="15" spans="1:8" x14ac:dyDescent="0.35">
      <c r="G15" s="49" t="s">
        <v>28</v>
      </c>
      <c r="H15" s="51">
        <v>0.19565217391304349</v>
      </c>
    </row>
    <row r="16" spans="1:8" x14ac:dyDescent="0.35">
      <c r="D16" s="48" t="s">
        <v>105</v>
      </c>
      <c r="E16" t="s">
        <v>113</v>
      </c>
      <c r="G16" s="49" t="s">
        <v>27</v>
      </c>
      <c r="H16" s="51">
        <v>0.2391304347826087</v>
      </c>
    </row>
    <row r="17" spans="4:8" x14ac:dyDescent="0.35">
      <c r="D17" s="49" t="s">
        <v>11</v>
      </c>
      <c r="E17" s="51">
        <v>2.1739130434782608E-2</v>
      </c>
      <c r="G17" s="49" t="s">
        <v>36</v>
      </c>
      <c r="H17" s="51">
        <v>0.34782608695652173</v>
      </c>
    </row>
    <row r="18" spans="4:8" x14ac:dyDescent="0.35">
      <c r="D18" s="49" t="s">
        <v>13</v>
      </c>
      <c r="E18" s="51">
        <v>4.3478260869565216E-2</v>
      </c>
      <c r="G18" s="49" t="s">
        <v>106</v>
      </c>
      <c r="H18" s="50">
        <v>1</v>
      </c>
    </row>
    <row r="19" spans="4:8" x14ac:dyDescent="0.35">
      <c r="D19" s="49" t="s">
        <v>12</v>
      </c>
      <c r="E19" s="51">
        <v>0.28260869565217389</v>
      </c>
    </row>
    <row r="20" spans="4:8" x14ac:dyDescent="0.35">
      <c r="D20" s="49" t="s">
        <v>10</v>
      </c>
      <c r="E20" s="51">
        <v>0.65217391304347827</v>
      </c>
      <c r="G20" s="48" t="s">
        <v>105</v>
      </c>
      <c r="H20" t="s">
        <v>116</v>
      </c>
    </row>
    <row r="21" spans="4:8" x14ac:dyDescent="0.35">
      <c r="D21" s="49" t="s">
        <v>106</v>
      </c>
      <c r="E21" s="50">
        <v>1</v>
      </c>
      <c r="G21" s="49" t="s">
        <v>23</v>
      </c>
      <c r="H21" s="51">
        <v>0.69565217391304346</v>
      </c>
    </row>
    <row r="22" spans="4:8" x14ac:dyDescent="0.35">
      <c r="G22" s="49" t="s">
        <v>24</v>
      </c>
      <c r="H22" s="51">
        <v>0.19565217391304349</v>
      </c>
    </row>
    <row r="23" spans="4:8" x14ac:dyDescent="0.35">
      <c r="G23" s="49" t="s">
        <v>25</v>
      </c>
      <c r="H23" s="51">
        <v>6.5217391304347824E-2</v>
      </c>
    </row>
    <row r="24" spans="4:8" x14ac:dyDescent="0.35">
      <c r="G24" s="49" t="s">
        <v>26</v>
      </c>
      <c r="H24" s="51">
        <v>4.3478260869565216E-2</v>
      </c>
    </row>
    <row r="25" spans="4:8" x14ac:dyDescent="0.35">
      <c r="G25" s="49" t="s">
        <v>106</v>
      </c>
      <c r="H25" s="50">
        <v>1</v>
      </c>
    </row>
    <row r="41" spans="1:1" x14ac:dyDescent="0.35">
      <c r="A41" t="e">
        <f>GETPIVOTDATA("Gender",$A$1)</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D42D9-ACC7-4893-827B-376E37EC1953}">
  <dimension ref="A1"/>
  <sheetViews>
    <sheetView tabSelected="1" zoomScale="70" zoomScaleNormal="70" workbookViewId="0">
      <selection sqref="A1:X40"/>
    </sheetView>
  </sheetViews>
  <sheetFormatPr defaultRowHeight="14.5" x14ac:dyDescent="0.35"/>
  <cols>
    <col min="1" max="16384" width="8.7265625" style="47"/>
  </cols>
  <sheetData/>
  <sheetProtection selectLockedCells="1"/>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WORKING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Oluwagbemiga Onifade</dc:creator>
  <cp:lastModifiedBy>Oluwagbemiga Onifade</cp:lastModifiedBy>
  <cp:lastPrinted>2025-11-14T17:26:55Z</cp:lastPrinted>
  <dcterms:created xsi:type="dcterms:W3CDTF">2025-11-13T16:00:34Z</dcterms:created>
  <dcterms:modified xsi:type="dcterms:W3CDTF">2026-01-10T23:30:28Z</dcterms:modified>
</cp:coreProperties>
</file>